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9400" windowHeight="14120" activeTab="2"/>
  </bookViews>
  <sheets>
    <sheet name="统计说明" sheetId="2" r:id="rId1"/>
    <sheet name="色号累计总表" sheetId="5" r:id="rId2"/>
    <sheet name="示例260801" sheetId="1" r:id="rId3"/>
    <sheet name="空白模板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92BC0E6ACBB4B34992DE74B90218198" descr="ima截图_20260804_103808"/>
        <xdr:cNvPicPr/>
      </xdr:nvPicPr>
      <xdr:blipFill>
        <a:blip r:embed="rId1"/>
        <a:stretch>
          <a:fillRect/>
        </a:stretch>
      </xdr:blipFill>
      <xdr:spPr>
        <a:xfrm>
          <a:off x="0" y="0"/>
          <a:ext cx="9124950" cy="4991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<sst xmlns="http://schemas.openxmlformats.org/spreadsheetml/2006/main" count="494" uniqueCount="255">
  <si>
    <t>拼豆 221 色进货管理表 · 使用说明与价值</t>
  </si>
  <si>
    <t>一句话：把 221 个色号、每次进货、每个色号累计买了多少，一张表全看明白，再也不用翻厂家色卡、再也不会重复买或漏买</t>
  </si>
  <si>
    <t>一、它到底能帮你解决什么？</t>
  </si>
  <si>
    <r>
      <rPr>
        <sz val="11"/>
        <color theme="1"/>
        <rFont val="宋体"/>
        <charset val="134"/>
        <scheme val="minor"/>
      </rPr>
      <t>开拼豆店，第一道坎不是装修，是</t>
    </r>
    <r>
      <rPr>
        <b/>
        <sz val="11"/>
        <color theme="1"/>
        <rFont val="宋体"/>
        <charset val="134"/>
        <scheme val="minor"/>
      </rPr>
      <t>豆子</t>
    </r>
    <r>
      <rPr>
        <sz val="11"/>
        <color theme="1"/>
        <rFont val="宋体"/>
        <charset val="134"/>
        <scheme val="minor"/>
      </rPr>
      <t>。</t>
    </r>
  </si>
  <si>
    <t>221 个色号，光记住名字就头大；</t>
  </si>
  <si>
    <t>每次进货记在纸上/备忘录，过两周就忘了买了啥；</t>
  </si>
  <si>
    <t>不同批次混在一起，说不清哪批花了多少；</t>
  </si>
  <si>
    <r>
      <rPr>
        <sz val="11"/>
        <color theme="1"/>
        <rFont val="宋体"/>
        <charset val="134"/>
        <scheme val="minor"/>
      </rPr>
      <t>结果就是——</t>
    </r>
    <r>
      <rPr>
        <b/>
        <sz val="11"/>
        <color theme="1"/>
        <rFont val="宋体"/>
        <charset val="134"/>
        <scheme val="minor"/>
      </rPr>
      <t>重复买一堆用不上的色，该补的常备色反而没买</t>
    </r>
    <r>
      <rPr>
        <sz val="11"/>
        <color theme="1"/>
        <rFont val="宋体"/>
        <charset val="134"/>
        <scheme val="minor"/>
      </rPr>
      <t>，一包几块、几十包就是几百块打水漂。</t>
    </r>
  </si>
  <si>
    <t>这张表就是专门治这个的。</t>
  </si>
  <si>
    <t>二、怎么用？</t>
  </si>
  <si>
    <t>⭐️直接把档期采买色号截图给厂家，加速沟通效率</t>
  </si>
  <si>
    <t>⭐️末尾自动统计采购数量，直接出金额，成本清晰可见</t>
  </si>
  <si>
    <r>
      <rPr>
        <b/>
        <sz val="11"/>
        <color theme="1"/>
        <rFont val="宋体"/>
        <charset val="134"/>
        <scheme val="minor"/>
      </rPr>
      <t>1）每次进货填一张批次单（新建sheet）</t>
    </r>
    <r>
      <rPr>
        <sz val="11"/>
        <color theme="1"/>
        <rFont val="宋体"/>
        <charset val="134"/>
        <scheme val="minor"/>
      </rPr>
      <t>：在对应「批次进货单」里填色号和数量即可。会自动统计出当期购买的总数。并自动计入「色号累计总表」。</t>
    </r>
  </si>
  <si>
    <t>⭐️累计补货最多的色号一眼就知道</t>
  </si>
  <si>
    <t>⭐️谁是店里的常用色，哪个消耗的最快一看便知</t>
  </si>
  <si>
    <r>
      <rPr>
        <b/>
        <sz val="11"/>
        <color theme="1"/>
        <rFont val="宋体"/>
        <charset val="134"/>
        <scheme val="minor"/>
      </rPr>
      <t>2）看累计总表</t>
    </r>
    <r>
      <rPr>
        <sz val="11"/>
        <color theme="1"/>
        <rFont val="宋体"/>
        <charset val="134"/>
        <scheme val="minor"/>
      </rPr>
      <t>：打开底部的「色号累计总表」，自动看到每个色号的历史累计量，看底部总色号数。</t>
    </r>
  </si>
  <si>
    <r>
      <rPr>
        <b/>
        <sz val="22"/>
        <color theme="1"/>
        <rFont val="PingFang SC Semibold"/>
        <charset val="134"/>
      </rPr>
      <t>拼豆221色基础进货单</t>
    </r>
    <r>
      <rPr>
        <sz val="36"/>
        <color theme="1"/>
        <rFont val="PingFang SC Regular"/>
        <charset val="134"/>
      </rPr>
      <t xml:space="preserve">
</t>
    </r>
    <r>
      <rPr>
        <sz val="11"/>
        <color rgb="FFFF0000"/>
        <rFont val="PingFang SC Regular"/>
        <charset val="134"/>
      </rPr>
      <t>空白处填写采购数量（单位：斤）</t>
    </r>
  </si>
  <si>
    <t>A系列</t>
  </si>
  <si>
    <t>B系列</t>
  </si>
  <si>
    <t>C系列</t>
  </si>
  <si>
    <t>D系列</t>
  </si>
  <si>
    <t>E系列</t>
  </si>
  <si>
    <t>F系列</t>
  </si>
  <si>
    <t>G系列</t>
  </si>
  <si>
    <t>H系列</t>
  </si>
  <si>
    <t>M系列</t>
  </si>
  <si>
    <t>A1</t>
  </si>
  <si>
    <t>B1</t>
  </si>
  <si>
    <t>C1</t>
  </si>
  <si>
    <t>D1</t>
  </si>
  <si>
    <t>E1</t>
  </si>
  <si>
    <t>F1</t>
  </si>
  <si>
    <t>G1</t>
  </si>
  <si>
    <t>H1</t>
  </si>
  <si>
    <t>M1</t>
  </si>
  <si>
    <t>A2</t>
  </si>
  <si>
    <t>B2</t>
  </si>
  <si>
    <t>C2</t>
  </si>
  <si>
    <t>D2</t>
  </si>
  <si>
    <t>E2</t>
  </si>
  <si>
    <t>F2</t>
  </si>
  <si>
    <t>G2</t>
  </si>
  <si>
    <t>H2</t>
  </si>
  <si>
    <t>M2</t>
  </si>
  <si>
    <t>A3</t>
  </si>
  <si>
    <t>B3</t>
  </si>
  <si>
    <t>C3</t>
  </si>
  <si>
    <t>D3</t>
  </si>
  <si>
    <t>E3</t>
  </si>
  <si>
    <t>F3</t>
  </si>
  <si>
    <t>G3</t>
  </si>
  <si>
    <t>H3</t>
  </si>
  <si>
    <t>M3</t>
  </si>
  <si>
    <t>A4</t>
  </si>
  <si>
    <t>B4</t>
  </si>
  <si>
    <t>C4</t>
  </si>
  <si>
    <t>D4</t>
  </si>
  <si>
    <t>E4</t>
  </si>
  <si>
    <t>F4</t>
  </si>
  <si>
    <t>G4</t>
  </si>
  <si>
    <t>H4</t>
  </si>
  <si>
    <t>M4</t>
  </si>
  <si>
    <t>A5</t>
  </si>
  <si>
    <t>B5</t>
  </si>
  <si>
    <t>C5</t>
  </si>
  <si>
    <t>D5</t>
  </si>
  <si>
    <t>E5</t>
  </si>
  <si>
    <t>F5</t>
  </si>
  <si>
    <t>G5</t>
  </si>
  <si>
    <t>H5</t>
  </si>
  <si>
    <t>M5</t>
  </si>
  <si>
    <t>A6</t>
  </si>
  <si>
    <t>B6</t>
  </si>
  <si>
    <t>C6</t>
  </si>
  <si>
    <t>D6</t>
  </si>
  <si>
    <t>E6</t>
  </si>
  <si>
    <t>F6</t>
  </si>
  <si>
    <t>G6</t>
  </si>
  <si>
    <t>H6</t>
  </si>
  <si>
    <t>M6</t>
  </si>
  <si>
    <t>A7</t>
  </si>
  <si>
    <t>B7</t>
  </si>
  <si>
    <t>C7</t>
  </si>
  <si>
    <t>D7</t>
  </si>
  <si>
    <t>E7</t>
  </si>
  <si>
    <t>F7</t>
  </si>
  <si>
    <t>G7</t>
  </si>
  <si>
    <t>H7</t>
  </si>
  <si>
    <t>M7</t>
  </si>
  <si>
    <t>A8</t>
  </si>
  <si>
    <t>B8</t>
  </si>
  <si>
    <t>C8</t>
  </si>
  <si>
    <t>D8</t>
  </si>
  <si>
    <t>E8</t>
  </si>
  <si>
    <t>F8</t>
  </si>
  <si>
    <t>G8</t>
  </si>
  <si>
    <t>H8</t>
  </si>
  <si>
    <t>M8</t>
  </si>
  <si>
    <t>A9</t>
  </si>
  <si>
    <t>B9</t>
  </si>
  <si>
    <t>C9</t>
  </si>
  <si>
    <t>D9</t>
  </si>
  <si>
    <t>E9</t>
  </si>
  <si>
    <t>F9</t>
  </si>
  <si>
    <t>G9</t>
  </si>
  <si>
    <t>H9</t>
  </si>
  <si>
    <t>M9</t>
  </si>
  <si>
    <t>A10</t>
  </si>
  <si>
    <t>B10</t>
  </si>
  <si>
    <t>C10</t>
  </si>
  <si>
    <t>D10</t>
  </si>
  <si>
    <t>E10</t>
  </si>
  <si>
    <t>F10</t>
  </si>
  <si>
    <t>G10</t>
  </si>
  <si>
    <t>H10</t>
  </si>
  <si>
    <t>M10</t>
  </si>
  <si>
    <t>A11</t>
  </si>
  <si>
    <t>B11</t>
  </si>
  <si>
    <t>C11</t>
  </si>
  <si>
    <t>D11</t>
  </si>
  <si>
    <t>E11</t>
  </si>
  <si>
    <t>F11</t>
  </si>
  <si>
    <t>G11</t>
  </si>
  <si>
    <t>H11</t>
  </si>
  <si>
    <t>M11</t>
  </si>
  <si>
    <t>A12</t>
  </si>
  <si>
    <t>B12</t>
  </si>
  <si>
    <t>C12</t>
  </si>
  <si>
    <t>D12</t>
  </si>
  <si>
    <t>E12</t>
  </si>
  <si>
    <t>F12</t>
  </si>
  <si>
    <t>G12</t>
  </si>
  <si>
    <t>H12</t>
  </si>
  <si>
    <t>M12</t>
  </si>
  <si>
    <t>A13</t>
  </si>
  <si>
    <t>B13</t>
  </si>
  <si>
    <t>C13</t>
  </si>
  <si>
    <t>D13</t>
  </si>
  <si>
    <t>E13</t>
  </si>
  <si>
    <t>F13</t>
  </si>
  <si>
    <t>G13</t>
  </si>
  <si>
    <t>H13</t>
  </si>
  <si>
    <t>M13</t>
  </si>
  <si>
    <t>A14</t>
  </si>
  <si>
    <t>B14</t>
  </si>
  <si>
    <t>C14</t>
  </si>
  <si>
    <t>D14</t>
  </si>
  <si>
    <t>E14</t>
  </si>
  <si>
    <t>F14</t>
  </si>
  <si>
    <t>G14</t>
  </si>
  <si>
    <t>H14</t>
  </si>
  <si>
    <t>M14</t>
  </si>
  <si>
    <t>A15</t>
  </si>
  <si>
    <t>B15</t>
  </si>
  <si>
    <t>C15</t>
  </si>
  <si>
    <t>D15</t>
  </si>
  <si>
    <t>E15</t>
  </si>
  <si>
    <t>F15</t>
  </si>
  <si>
    <t>G15</t>
  </si>
  <si>
    <t>H15</t>
  </si>
  <si>
    <t>M15</t>
  </si>
  <si>
    <t>A16</t>
  </si>
  <si>
    <t>B16</t>
  </si>
  <si>
    <t>C16</t>
  </si>
  <si>
    <t>D16</t>
  </si>
  <si>
    <t>E16</t>
  </si>
  <si>
    <t>F16</t>
  </si>
  <si>
    <t>G16</t>
  </si>
  <si>
    <t>H16</t>
  </si>
  <si>
    <t>A17</t>
  </si>
  <si>
    <t>B17</t>
  </si>
  <si>
    <t>C17</t>
  </si>
  <si>
    <t>D17</t>
  </si>
  <si>
    <t>E17</t>
  </si>
  <si>
    <t>F17</t>
  </si>
  <si>
    <t>G17</t>
  </si>
  <si>
    <t>H17</t>
  </si>
  <si>
    <t>A18</t>
  </si>
  <si>
    <t>B18</t>
  </si>
  <si>
    <t>C18</t>
  </si>
  <si>
    <t>D18</t>
  </si>
  <si>
    <t>E18</t>
  </si>
  <si>
    <t>F18</t>
  </si>
  <si>
    <t>G18</t>
  </si>
  <si>
    <t>H18</t>
  </si>
  <si>
    <t>A19</t>
  </si>
  <si>
    <t>B19</t>
  </si>
  <si>
    <t>C19</t>
  </si>
  <si>
    <t>D19</t>
  </si>
  <si>
    <t>E19</t>
  </si>
  <si>
    <t>F19</t>
  </si>
  <si>
    <t>G19</t>
  </si>
  <si>
    <t>H19</t>
  </si>
  <si>
    <t>A20</t>
  </si>
  <si>
    <t>B20</t>
  </si>
  <si>
    <t>C20</t>
  </si>
  <si>
    <t>D20</t>
  </si>
  <si>
    <t>E20</t>
  </si>
  <si>
    <t>F20</t>
  </si>
  <si>
    <t>G20</t>
  </si>
  <si>
    <t>H20</t>
  </si>
  <si>
    <t>A21</t>
  </si>
  <si>
    <t>B21</t>
  </si>
  <si>
    <t>C21</t>
  </si>
  <si>
    <t>D21</t>
  </si>
  <si>
    <t>E21</t>
  </si>
  <si>
    <t>F21</t>
  </si>
  <si>
    <r>
      <rPr>
        <sz val="10"/>
        <color rgb="FF404040"/>
        <rFont val="宋体"/>
        <charset val="134"/>
      </rPr>
      <t>G2</t>
    </r>
    <r>
      <rPr>
        <sz val="10"/>
        <rFont val="宋体"/>
        <charset val="134"/>
      </rPr>
      <t>1</t>
    </r>
  </si>
  <si>
    <t>H21</t>
  </si>
  <si>
    <t>A22</t>
  </si>
  <si>
    <t>B22</t>
  </si>
  <si>
    <t>C22</t>
  </si>
  <si>
    <t>D22</t>
  </si>
  <si>
    <t>E22</t>
  </si>
  <si>
    <t>F22</t>
  </si>
  <si>
    <t>H22</t>
  </si>
  <si>
    <t>A23</t>
  </si>
  <si>
    <t>B23</t>
  </si>
  <si>
    <t>C23</t>
  </si>
  <si>
    <t>D23</t>
  </si>
  <si>
    <t>E23</t>
  </si>
  <si>
    <t>F23</t>
  </si>
  <si>
    <t>H23</t>
  </si>
  <si>
    <t>A24</t>
  </si>
  <si>
    <t>B24</t>
  </si>
  <si>
    <t>C24</t>
  </si>
  <si>
    <t>D24</t>
  </si>
  <si>
    <t>E24</t>
  </si>
  <si>
    <t>F24</t>
  </si>
  <si>
    <t>A25</t>
  </si>
  <si>
    <t>B25</t>
  </si>
  <si>
    <t>C25</t>
  </si>
  <si>
    <t>D25</t>
  </si>
  <si>
    <t>F25</t>
  </si>
  <si>
    <t>A26</t>
  </si>
  <si>
    <t>B26</t>
  </si>
  <si>
    <t>C26</t>
  </si>
  <si>
    <t>D26</t>
  </si>
  <si>
    <t>B27</t>
  </si>
  <si>
    <t>C27</t>
  </si>
  <si>
    <t>B28</t>
  </si>
  <si>
    <t>C28</t>
  </si>
  <si>
    <t>B29</t>
  </si>
  <si>
    <t>C29</t>
  </si>
  <si>
    <t>B30</t>
  </si>
  <si>
    <t>B31</t>
  </si>
  <si>
    <t>B32</t>
  </si>
  <si>
    <t>本次采购总数量：</t>
  </si>
  <si>
    <t>斤</t>
  </si>
  <si>
    <t>已采购色号数：</t>
  </si>
  <si>
    <t>个</t>
  </si>
  <si>
    <t>购买单价：</t>
  </si>
  <si>
    <t>元/斤</t>
  </si>
  <si>
    <t>预计花费（不含邮费）:</t>
  </si>
  <si>
    <t>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</si>
</sst>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宋体"/>
      <charset val="134"/>
      <scheme val="minor"/>
    </font>
    <font>
      <b/>
      <sz val="22"/>
      <color theme="1"/>
      <name val="PingFang SC Semibold"/>
      <charset val="134"/>
    </font>
    <font>
      <sz val="36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0"/>
      <color rgb="FF404050"/>
      <name val="宋体"/>
      <charset val="134"/>
      <scheme val="minor"/>
    </font>
    <font>
      <sz val="10"/>
      <color rgb="FF304040"/>
      <name val="宋体"/>
      <charset val="134"/>
      <scheme val="minor"/>
    </font>
    <font>
      <sz val="10"/>
      <color rgb="FF405050"/>
      <name val="宋体"/>
      <charset val="134"/>
      <scheme val="minor"/>
    </font>
    <font>
      <sz val="10"/>
      <color rgb="FF203040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b/>
      <sz val="14"/>
      <color theme="9"/>
      <name val="宋体"/>
      <charset val="134"/>
      <scheme val="minor"/>
    </font>
    <font>
      <b/>
      <sz val="24"/>
      <color theme="1"/>
      <name val="宋体"/>
      <charset val="134"/>
      <scheme val="minor"/>
    </font>
    <font>
      <sz val="11"/>
      <color theme="8"/>
      <name val="宋体"/>
      <charset val="134"/>
      <scheme val="minor"/>
    </font>
    <font>
      <b/>
      <sz val="11"/>
      <color theme="9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404040"/>
      <name val="宋体"/>
      <charset val="134"/>
    </font>
    <font>
      <sz val="10"/>
      <name val="宋体"/>
      <charset val="134"/>
    </font>
    <font>
      <sz val="36"/>
      <color theme="1"/>
      <name val="PingFang SC Regular"/>
      <charset val="134"/>
    </font>
    <font>
      <sz val="11"/>
      <color rgb="FFFF0000"/>
      <name val="PingFang SC Regular"/>
      <charset val="134"/>
    </font>
  </fonts>
  <fills count="252">
    <fill>
      <patternFill patternType="none"/>
    </fill>
    <fill>
      <patternFill patternType="gray125"/>
    </fill>
    <fill>
      <patternFill patternType="solid">
        <fgColor rgb="FFFAF5CD"/>
        <bgColor indexed="64"/>
      </patternFill>
    </fill>
    <fill>
      <patternFill patternType="solid">
        <fgColor rgb="FFDFF139"/>
        <bgColor indexed="64"/>
      </patternFill>
    </fill>
    <fill>
      <patternFill patternType="solid">
        <fgColor rgb="FFFFFEE4"/>
        <bgColor indexed="64"/>
      </patternFill>
    </fill>
    <fill>
      <patternFill patternType="solid">
        <fgColor rgb="FFACB7EF"/>
        <bgColor indexed="64"/>
      </patternFill>
    </fill>
    <fill>
      <patternFill patternType="solid">
        <fgColor rgb="FFF6D4CB"/>
        <bgColor indexed="64"/>
      </patternFill>
    </fill>
    <fill>
      <patternFill patternType="solid">
        <fgColor rgb="FFFF9280"/>
        <bgColor indexed="64"/>
      </patternFill>
    </fill>
    <fill>
      <patternFill patternType="solid">
        <fgColor rgb="FFFFEAD3"/>
        <bgColor indexed="64"/>
      </patternFill>
    </fill>
    <fill>
      <patternFill patternType="solid">
        <fgColor rgb="FFBBC6B6"/>
        <bgColor indexed="64"/>
      </patternFill>
    </fill>
    <fill>
      <patternFill patternType="solid">
        <fgColor rgb="FFFCFED6"/>
        <bgColor indexed="64"/>
      </patternFill>
    </fill>
    <fill>
      <patternFill patternType="solid">
        <fgColor rgb="FF64F343"/>
        <bgColor indexed="64"/>
      </patternFill>
    </fill>
    <fill>
      <patternFill patternType="solid">
        <fgColor rgb="FFABF8FE"/>
        <bgColor indexed="64"/>
      </patternFill>
    </fill>
    <fill>
      <patternFill patternType="solid">
        <fgColor rgb="FF868DD3"/>
        <bgColor indexed="64"/>
      </patternFill>
    </fill>
    <fill>
      <patternFill patternType="solid">
        <fgColor rgb="FFFCC1DD"/>
        <bgColor indexed="64"/>
      </patternFill>
    </fill>
    <fill>
      <patternFill patternType="solid">
        <fgColor rgb="FFF73D48"/>
        <bgColor indexed="64"/>
      </patternFill>
    </fill>
    <fill>
      <patternFill patternType="solid">
        <fgColor rgb="FFFCC6AC"/>
        <bgColor indexed="64"/>
      </patternFill>
    </fill>
    <fill>
      <patternFill patternType="solid">
        <fgColor rgb="FF909994"/>
        <bgColor indexed="64"/>
      </patternFill>
    </fill>
    <fill>
      <patternFill patternType="solid">
        <fgColor rgb="FFFCFF92"/>
        <bgColor indexed="64"/>
      </patternFill>
    </fill>
    <fill>
      <patternFill patternType="solid">
        <fgColor rgb="FF9FF685"/>
        <bgColor indexed="64"/>
      </patternFill>
    </fill>
    <fill>
      <patternFill patternType="solid">
        <fgColor rgb="FF9EE0F8"/>
        <bgColor indexed="64"/>
      </patternFill>
    </fill>
    <fill>
      <patternFill patternType="solid">
        <fgColor rgb="FF3653AF"/>
        <bgColor indexed="64"/>
      </patternFill>
    </fill>
    <fill>
      <patternFill patternType="solid">
        <fgColor rgb="FFF6BDE8"/>
        <bgColor indexed="64"/>
      </patternFill>
    </fill>
    <fill>
      <patternFill patternType="solid">
        <fgColor rgb="FFEF4D3E"/>
        <bgColor indexed="64"/>
      </patternFill>
    </fill>
    <fill>
      <patternFill patternType="solid">
        <fgColor rgb="FFF1C4A5"/>
        <bgColor indexed="64"/>
      </patternFill>
    </fill>
    <fill>
      <patternFill patternType="solid">
        <fgColor rgb="FFB4B4B4"/>
        <bgColor indexed="64"/>
      </patternFill>
    </fill>
    <fill>
      <patternFill patternType="solid">
        <fgColor rgb="FF697E30"/>
        <bgColor indexed="64"/>
      </patternFill>
    </fill>
    <fill>
      <patternFill patternType="solid">
        <fgColor rgb="FFF7EC5C"/>
        <bgColor indexed="64"/>
      </patternFill>
    </fill>
    <fill>
      <patternFill patternType="solid">
        <fgColor rgb="FF5FDF34"/>
        <bgColor indexed="64"/>
      </patternFill>
    </fill>
    <fill>
      <patternFill patternType="solid">
        <fgColor rgb="FF44CDFB"/>
        <bgColor indexed="64"/>
      </patternFill>
    </fill>
    <fill>
      <patternFill patternType="solid">
        <fgColor rgb="FF162C7E"/>
        <bgColor indexed="64"/>
      </patternFill>
    </fill>
    <fill>
      <patternFill patternType="solid">
        <fgColor rgb="FFE9639E"/>
        <bgColor indexed="64"/>
      </patternFill>
    </fill>
    <fill>
      <patternFill patternType="solid">
        <fgColor rgb="FFF92B40"/>
        <bgColor indexed="64"/>
      </patternFill>
    </fill>
    <fill>
      <patternFill patternType="solid">
        <fgColor rgb="FFDCB387"/>
        <bgColor indexed="64"/>
      </patternFill>
    </fill>
    <fill>
      <patternFill patternType="solid">
        <fgColor rgb="FF878787"/>
        <bgColor indexed="64"/>
      </patternFill>
    </fill>
    <fill>
      <patternFill patternType="solid">
        <fgColor rgb="FFE0D4BC"/>
        <bgColor indexed="64"/>
      </patternFill>
    </fill>
    <fill>
      <patternFill patternType="solid">
        <fgColor rgb="FFFFE44B"/>
        <bgColor indexed="64"/>
      </patternFill>
    </fill>
    <fill>
      <patternFill patternType="solid">
        <fgColor rgb="FF39E158"/>
        <bgColor indexed="64"/>
      </patternFill>
    </fill>
    <fill>
      <patternFill patternType="solid">
        <fgColor rgb="FF06ABE3"/>
        <bgColor indexed="64"/>
      </patternFill>
    </fill>
    <fill>
      <patternFill patternType="solid">
        <fgColor rgb="FFB34EC6"/>
        <bgColor indexed="64"/>
      </patternFill>
    </fill>
    <fill>
      <patternFill patternType="solid">
        <fgColor rgb="FFF1559F"/>
        <bgColor indexed="64"/>
      </patternFill>
    </fill>
    <fill>
      <patternFill patternType="solid">
        <fgColor rgb="FFE30328"/>
        <bgColor indexed="64"/>
      </patternFill>
    </fill>
    <fill>
      <patternFill patternType="solid">
        <fgColor rgb="FFE7B34E"/>
        <bgColor indexed="64"/>
      </patternFill>
    </fill>
    <fill>
      <patternFill patternType="solid">
        <fgColor rgb="FF464648"/>
        <bgColor indexed="64"/>
      </patternFill>
    </fill>
    <fill>
      <patternFill patternType="solid">
        <fgColor rgb="FFD0CBAE"/>
        <bgColor indexed="64"/>
      </patternFill>
    </fill>
    <fill>
      <patternFill patternType="solid">
        <fgColor rgb="FFFDA951"/>
        <bgColor indexed="64"/>
      </patternFill>
    </fill>
    <fill>
      <patternFill patternType="solid">
        <fgColor rgb="FF64B0A4"/>
        <bgColor indexed="64"/>
      </patternFill>
    </fill>
    <fill>
      <patternFill patternType="solid">
        <fgColor rgb="FF54A7E9"/>
        <bgColor indexed="64"/>
      </patternFill>
    </fill>
    <fill>
      <patternFill patternType="solid">
        <fgColor rgb="FFB37BDC"/>
        <bgColor indexed="64"/>
      </patternFill>
    </fill>
    <fill>
      <patternFill patternType="solid">
        <fgColor rgb="FFBC4072"/>
        <bgColor indexed="64"/>
      </patternFill>
    </fill>
    <fill>
      <patternFill patternType="solid">
        <fgColor rgb="FF913635"/>
        <bgColor indexed="64"/>
      </patternFill>
    </fill>
    <fill>
      <patternFill patternType="solid">
        <fgColor rgb="FFF3A014"/>
        <bgColor indexed="64"/>
      </patternFill>
    </fill>
    <fill>
      <patternFill patternType="solid">
        <fgColor rgb="FF2C2C2C"/>
        <bgColor indexed="64"/>
      </patternFill>
    </fill>
    <fill>
      <patternFill patternType="solid">
        <fgColor rgb="FFB0AA86"/>
        <bgColor indexed="64"/>
      </patternFill>
    </fill>
    <fill>
      <patternFill patternType="solid">
        <fgColor rgb="FFFA8C4F"/>
        <bgColor indexed="64"/>
      </patternFill>
    </fill>
    <fill>
      <patternFill patternType="solid">
        <fgColor rgb="FF3FAE7C"/>
        <bgColor indexed="64"/>
      </patternFill>
    </fill>
    <fill>
      <patternFill patternType="solid">
        <fgColor rgb="FF3977CC"/>
        <bgColor indexed="64"/>
      </patternFill>
    </fill>
    <fill>
      <patternFill patternType="solid">
        <fgColor rgb="FF8758A9"/>
        <bgColor indexed="64"/>
      </patternFill>
    </fill>
    <fill>
      <patternFill patternType="solid">
        <fgColor rgb="FFC63674"/>
        <bgColor indexed="64"/>
      </patternFill>
    </fill>
    <fill>
      <patternFill patternType="solid">
        <fgColor rgb="FF911932"/>
        <bgColor indexed="64"/>
      </patternFill>
    </fill>
    <fill>
      <patternFill patternType="solid">
        <fgColor rgb="FF98503A"/>
        <bgColor indexed="64"/>
      </patternFill>
    </fill>
    <fill>
      <patternFill patternType="solid">
        <fgColor rgb="FF010101"/>
        <bgColor indexed="64"/>
      </patternFill>
    </fill>
    <fill>
      <patternFill patternType="solid">
        <fgColor rgb="FFB0A796"/>
        <bgColor indexed="64"/>
      </patternFill>
    </fill>
    <fill>
      <patternFill patternType="solid">
        <fgColor rgb="FFF9E045"/>
        <bgColor indexed="64"/>
      </patternFill>
    </fill>
    <fill>
      <patternFill patternType="solid">
        <fgColor rgb="FF1D9E54"/>
        <bgColor indexed="64"/>
      </patternFill>
    </fill>
    <fill>
      <patternFill patternType="solid">
        <fgColor rgb="FF0F52BD"/>
        <bgColor indexed="64"/>
      </patternFill>
    </fill>
    <fill>
      <patternFill patternType="solid">
        <fgColor rgb="FFE3D2FE"/>
        <bgColor indexed="64"/>
      </patternFill>
    </fill>
    <fill>
      <patternFill patternType="solid">
        <fgColor rgb="FFFDDBE9"/>
        <bgColor indexed="64"/>
      </patternFill>
    </fill>
    <fill>
      <patternFill patternType="solid">
        <fgColor rgb="FFBB0126"/>
        <bgColor indexed="64"/>
      </patternFill>
    </fill>
    <fill>
      <patternFill patternType="solid">
        <fgColor rgb="FF4B2B1C"/>
        <bgColor indexed="64"/>
      </patternFill>
    </fill>
    <fill>
      <patternFill patternType="solid">
        <fgColor rgb="FFE7D6DC"/>
        <bgColor indexed="64"/>
      </patternFill>
    </fill>
    <fill>
      <patternFill patternType="solid">
        <fgColor rgb="FFAE8082"/>
        <bgColor indexed="64"/>
      </patternFill>
    </fill>
    <fill>
      <patternFill patternType="solid">
        <fgColor rgb="FFF99C5F"/>
        <bgColor indexed="64"/>
      </patternFill>
    </fill>
    <fill>
      <patternFill patternType="solid">
        <fgColor rgb="FF2A5037"/>
        <bgColor indexed="64"/>
      </patternFill>
    </fill>
    <fill>
      <patternFill patternType="solid">
        <fgColor rgb="FF3349C3"/>
        <bgColor indexed="64"/>
      </patternFill>
    </fill>
    <fill>
      <patternFill patternType="solid">
        <fgColor rgb="FFD6BAF5"/>
        <bgColor indexed="64"/>
      </patternFill>
    </fill>
    <fill>
      <patternFill patternType="solid">
        <fgColor rgb="FFE575C7"/>
        <bgColor indexed="64"/>
      </patternFill>
    </fill>
    <fill>
      <patternFill patternType="solid">
        <fgColor rgb="FFB0677A"/>
        <bgColor indexed="64"/>
      </patternFill>
    </fill>
    <fill>
      <patternFill patternType="solid">
        <fgColor rgb="FFE4B685"/>
        <bgColor indexed="64"/>
      </patternFill>
    </fill>
    <fill>
      <patternFill patternType="solid">
        <fgColor rgb="FFEFEDEE"/>
        <bgColor indexed="64"/>
      </patternFill>
    </fill>
    <fill>
      <patternFill patternType="solid">
        <fgColor rgb="FFA88764"/>
        <bgColor indexed="64"/>
      </patternFill>
    </fill>
    <fill>
      <patternFill patternType="solid">
        <fgColor rgb="FFF47E36"/>
        <bgColor indexed="64"/>
      </patternFill>
    </fill>
    <fill>
      <patternFill patternType="solid">
        <fgColor rgb="FF9AD1BA"/>
        <bgColor indexed="64"/>
      </patternFill>
    </fill>
    <fill>
      <patternFill patternType="solid">
        <fgColor rgb="FF3DBBE3"/>
        <bgColor indexed="64"/>
      </patternFill>
    </fill>
    <fill>
      <patternFill patternType="solid">
        <fgColor rgb="FF301A49"/>
        <bgColor indexed="64"/>
      </patternFill>
    </fill>
    <fill>
      <patternFill patternType="solid">
        <fgColor rgb="FFD33997"/>
        <bgColor indexed="64"/>
      </patternFill>
    </fill>
    <fill>
      <patternFill patternType="solid">
        <fgColor rgb="FF874628"/>
        <bgColor indexed="64"/>
      </patternFill>
    </fill>
    <fill>
      <patternFill patternType="solid">
        <fgColor rgb="FFDA8C42"/>
        <bgColor indexed="64"/>
      </patternFill>
    </fill>
    <fill>
      <patternFill patternType="solid">
        <fgColor rgb="FFECEAEB"/>
        <bgColor indexed="64"/>
      </patternFill>
    </fill>
    <fill>
      <patternFill patternType="solid">
        <fgColor rgb="FFC6B2BB"/>
        <bgColor indexed="64"/>
      </patternFill>
    </fill>
    <fill>
      <patternFill patternType="solid">
        <fgColor rgb="FFFEDB99"/>
        <bgColor indexed="64"/>
      </patternFill>
    </fill>
    <fill>
      <patternFill patternType="solid">
        <fgColor rgb="FF627032"/>
        <bgColor indexed="64"/>
      </patternFill>
    </fill>
    <fill>
      <patternFill patternType="solid">
        <fgColor rgb="FF2ADED3"/>
        <bgColor indexed="64"/>
      </patternFill>
    </fill>
    <fill>
      <patternFill patternType="solid">
        <fgColor rgb="FFBCBAE2"/>
        <bgColor indexed="64"/>
      </patternFill>
    </fill>
    <fill>
      <patternFill patternType="solid">
        <fgColor rgb="FFF7DAD4"/>
        <bgColor indexed="64"/>
      </patternFill>
    </fill>
    <fill>
      <patternFill patternType="solid">
        <fgColor rgb="FF6F321D"/>
        <bgColor indexed="64"/>
      </patternFill>
    </fill>
    <fill>
      <patternFill patternType="solid">
        <fgColor rgb="FFDAC898"/>
        <bgColor indexed="64"/>
      </patternFill>
    </fill>
    <fill>
      <patternFill patternType="solid">
        <fgColor rgb="FFCDCDCD"/>
        <bgColor indexed="64"/>
      </patternFill>
    </fill>
    <fill>
      <patternFill patternType="solid">
        <fgColor rgb="FF9D7693"/>
        <bgColor indexed="64"/>
      </patternFill>
    </fill>
    <fill>
      <patternFill patternType="solid">
        <fgColor rgb="FFFDA276"/>
        <bgColor indexed="64"/>
      </patternFill>
    </fill>
    <fill>
      <patternFill patternType="solid">
        <fgColor rgb="FF1A6E3D"/>
        <bgColor indexed="64"/>
      </patternFill>
    </fill>
    <fill>
      <patternFill patternType="solid">
        <fgColor rgb="FF1E334E"/>
        <bgColor indexed="64"/>
      </patternFill>
    </fill>
    <fill>
      <patternFill patternType="solid">
        <fgColor rgb="FFDC99CE"/>
        <bgColor indexed="64"/>
      </patternFill>
    </fill>
    <fill>
      <patternFill patternType="solid">
        <fgColor rgb="FFF893BF"/>
        <bgColor indexed="64"/>
      </patternFill>
    </fill>
    <fill>
      <patternFill patternType="solid">
        <fgColor rgb="FFF8516D"/>
        <bgColor indexed="64"/>
      </patternFill>
    </fill>
    <fill>
      <patternFill patternType="solid">
        <fgColor rgb="FFFEC993"/>
        <bgColor indexed="64"/>
      </patternFill>
    </fill>
    <fill>
      <patternFill patternType="solid">
        <fgColor rgb="FFFDF6EE"/>
        <bgColor indexed="64"/>
      </patternFill>
    </fill>
    <fill>
      <patternFill patternType="solid">
        <fgColor rgb="FF644B51"/>
        <bgColor indexed="64"/>
      </patternFill>
    </fill>
    <fill>
      <patternFill patternType="solid">
        <fgColor rgb="FFFEC667"/>
        <bgColor indexed="64"/>
      </patternFill>
    </fill>
    <fill>
      <patternFill patternType="solid">
        <fgColor rgb="FFC8E87D"/>
        <bgColor indexed="64"/>
      </patternFill>
    </fill>
    <fill>
      <patternFill patternType="solid">
        <fgColor rgb="FFCDE7FE"/>
        <bgColor indexed="64"/>
      </patternFill>
    </fill>
    <fill>
      <patternFill patternType="solid">
        <fgColor rgb="FFB5038F"/>
        <bgColor indexed="64"/>
      </patternFill>
    </fill>
    <fill>
      <patternFill patternType="solid">
        <fgColor rgb="FFB5026A"/>
        <bgColor indexed="64"/>
      </patternFill>
    </fill>
    <fill>
      <patternFill patternType="solid">
        <fgColor rgb="FFF45C45"/>
        <bgColor indexed="64"/>
      </patternFill>
    </fill>
    <fill>
      <patternFill patternType="solid">
        <fgColor rgb="FFB2714B"/>
        <bgColor indexed="64"/>
      </patternFill>
    </fill>
    <fill>
      <patternFill patternType="solid">
        <fgColor rgb="FFF4EFD1"/>
        <bgColor indexed="64"/>
      </patternFill>
    </fill>
    <fill>
      <patternFill patternType="solid">
        <fgColor rgb="FFC79266"/>
        <bgColor indexed="64"/>
      </patternFill>
    </fill>
    <fill>
      <patternFill patternType="solid">
        <fgColor rgb="FFF85842"/>
        <bgColor indexed="64"/>
      </patternFill>
    </fill>
    <fill>
      <patternFill patternType="solid">
        <fgColor rgb="FFACE84C"/>
        <bgColor indexed="64"/>
      </patternFill>
    </fill>
    <fill>
      <patternFill patternType="solid">
        <fgColor rgb="FFD6FDFC"/>
        <bgColor indexed="64"/>
      </patternFill>
    </fill>
    <fill>
      <patternFill patternType="solid">
        <fgColor rgb="FF882893"/>
        <bgColor indexed="64"/>
      </patternFill>
    </fill>
    <fill>
      <patternFill patternType="solid">
        <fgColor rgb="FFFAD4BF"/>
        <bgColor indexed="64"/>
      </patternFill>
    </fill>
    <fill>
      <patternFill patternType="solid">
        <fgColor rgb="FFFCADB2"/>
        <bgColor indexed="64"/>
      </patternFill>
    </fill>
    <fill>
      <patternFill patternType="solid">
        <fgColor rgb="FF8B684C"/>
        <bgColor indexed="64"/>
      </patternFill>
    </fill>
    <fill>
      <patternFill patternType="solid">
        <fgColor rgb="FFCED7D4"/>
        <bgColor indexed="64"/>
      </patternFill>
    </fill>
    <fill>
      <patternFill patternType="solid">
        <fgColor rgb="FFC37463"/>
        <bgColor indexed="64"/>
      </patternFill>
    </fill>
    <fill>
      <patternFill patternType="solid">
        <fgColor rgb="FFFBF65E"/>
        <bgColor indexed="64"/>
      </patternFill>
    </fill>
    <fill>
      <patternFill patternType="solid">
        <fgColor rgb="FF305335"/>
        <bgColor indexed="64"/>
      </patternFill>
    </fill>
    <fill>
      <patternFill patternType="solid">
        <fgColor rgb="FF21C5C4"/>
        <bgColor indexed="64"/>
      </patternFill>
    </fill>
    <fill>
      <patternFill patternType="solid">
        <fgColor rgb="FF2F1E8E"/>
        <bgColor indexed="64"/>
      </patternFill>
    </fill>
    <fill>
      <patternFill patternType="solid">
        <fgColor rgb="FFF5C9CA"/>
        <bgColor indexed="64"/>
      </patternFill>
    </fill>
    <fill>
      <patternFill patternType="solid">
        <fgColor rgb="FFD50527"/>
        <bgColor indexed="64"/>
      </patternFill>
    </fill>
    <fill>
      <patternFill patternType="solid">
        <fgColor rgb="FFF6F8E3"/>
        <bgColor indexed="64"/>
      </patternFill>
    </fill>
    <fill>
      <patternFill patternType="solid">
        <fgColor rgb="FF98A6A6"/>
        <bgColor indexed="64"/>
      </patternFill>
    </fill>
    <fill>
      <patternFill patternType="solid">
        <fgColor rgb="FF747D7A"/>
        <bgColor indexed="64"/>
      </patternFill>
    </fill>
    <fill>
      <patternFill patternType="solid">
        <fgColor rgb="FFFEFF97"/>
        <bgColor indexed="64"/>
      </patternFill>
    </fill>
    <fill>
      <patternFill patternType="solid">
        <fgColor rgb="FFC0ED9C"/>
        <bgColor indexed="64"/>
      </patternFill>
    </fill>
    <fill>
      <patternFill patternType="solid">
        <fgColor rgb="FF1858A2"/>
        <bgColor indexed="64"/>
      </patternFill>
    </fill>
    <fill>
      <patternFill patternType="solid">
        <fgColor rgb="FFE2E4F0"/>
        <bgColor indexed="64"/>
      </patternFill>
    </fill>
    <fill>
      <patternFill patternType="solid">
        <fgColor rgb="FFFBF4EC"/>
        <bgColor indexed="64"/>
      </patternFill>
    </fill>
    <fill>
      <patternFill patternType="solid">
        <fgColor rgb="FFF8C0A9"/>
        <bgColor indexed="64"/>
      </patternFill>
    </fill>
    <fill>
      <patternFill patternType="solid">
        <fgColor rgb="FFF2D8C1"/>
        <bgColor indexed="64"/>
      </patternFill>
    </fill>
    <fill>
      <patternFill patternType="solid">
        <fgColor rgb="FF1B1213"/>
        <bgColor indexed="64"/>
      </patternFill>
    </fill>
    <fill>
      <patternFill patternType="solid">
        <fgColor rgb="FFFDE173"/>
        <bgColor indexed="64"/>
      </patternFill>
    </fill>
    <fill>
      <patternFill patternType="solid">
        <fgColor rgb="FF9FB33E"/>
        <bgColor indexed="64"/>
      </patternFill>
    </fill>
    <fill>
      <patternFill patternType="solid">
        <fgColor rgb="FF02D1F3"/>
        <bgColor indexed="64"/>
      </patternFill>
    </fill>
    <fill>
      <patternFill patternType="solid">
        <fgColor rgb="FFC7D3F9"/>
        <bgColor indexed="64"/>
      </patternFill>
    </fill>
    <fill>
      <patternFill patternType="solid">
        <fgColor rgb="FFF7E3EC"/>
        <bgColor indexed="64"/>
      </patternFill>
    </fill>
    <fill>
      <patternFill patternType="solid">
        <fgColor rgb="FFE89B7D"/>
        <bgColor indexed="64"/>
      </patternFill>
    </fill>
    <fill>
      <patternFill patternType="solid">
        <fgColor rgb="FF79544E"/>
        <bgColor indexed="64"/>
      </patternFill>
    </fill>
    <fill>
      <patternFill patternType="solid">
        <fgColor rgb="FFFCBF80"/>
        <bgColor indexed="64"/>
      </patternFill>
    </fill>
    <fill>
      <patternFill patternType="solid">
        <fgColor rgb="FFE6ED4F"/>
        <bgColor indexed="64"/>
      </patternFill>
    </fill>
    <fill>
      <patternFill patternType="solid">
        <fgColor rgb="FF213244"/>
        <bgColor indexed="64"/>
      </patternFill>
    </fill>
    <fill>
      <patternFill patternType="solid">
        <fgColor rgb="FF9A64B8"/>
        <bgColor indexed="64"/>
      </patternFill>
    </fill>
    <fill>
      <patternFill patternType="solid">
        <fgColor rgb="FFFBCBDB"/>
        <bgColor indexed="64"/>
      </patternFill>
    </fill>
    <fill>
      <patternFill patternType="solid">
        <fgColor rgb="FFD07E4A"/>
        <bgColor indexed="64"/>
      </patternFill>
    </fill>
    <fill>
      <patternFill patternType="solid">
        <fgColor rgb="FFFFEAD6"/>
        <bgColor indexed="64"/>
      </patternFill>
    </fill>
    <fill>
      <patternFill patternType="solid">
        <fgColor rgb="FFFD7E77"/>
        <bgColor indexed="64"/>
      </patternFill>
    </fill>
    <fill>
      <patternFill patternType="solid">
        <fgColor rgb="FF26B78E"/>
        <bgColor indexed="64"/>
      </patternFill>
    </fill>
    <fill>
      <patternFill patternType="solid">
        <fgColor rgb="FF188690"/>
        <bgColor indexed="64"/>
      </patternFill>
    </fill>
    <fill>
      <patternFill patternType="solid">
        <fgColor rgb="FFD8C2D9"/>
        <bgColor indexed="64"/>
      </patternFill>
    </fill>
    <fill>
      <patternFill patternType="solid">
        <fgColor rgb="FFF6BBD1"/>
        <bgColor indexed="64"/>
      </patternFill>
    </fill>
    <fill>
      <patternFill patternType="solid">
        <fgColor rgb="FFBE454A"/>
        <bgColor indexed="64"/>
      </patternFill>
    </fill>
    <fill>
      <patternFill patternType="solid">
        <fgColor rgb="FFDD7D41"/>
        <bgColor indexed="64"/>
      </patternFill>
    </fill>
    <fill>
      <patternFill patternType="solid">
        <fgColor rgb="FFF2EEE5"/>
        <bgColor indexed="64"/>
      </patternFill>
    </fill>
    <fill>
      <patternFill patternType="solid">
        <fgColor rgb="FFF9D66E"/>
        <bgColor indexed="64"/>
      </patternFill>
    </fill>
    <fill>
      <patternFill patternType="solid">
        <fgColor rgb="FFCAEDCF"/>
        <bgColor indexed="64"/>
      </patternFill>
    </fill>
    <fill>
      <patternFill patternType="solid">
        <fgColor rgb="FF1A70A9"/>
        <bgColor indexed="64"/>
      </patternFill>
    </fill>
    <fill>
      <patternFill patternType="solid">
        <fgColor rgb="FF9C34AD"/>
        <bgColor indexed="64"/>
      </patternFill>
    </fill>
    <fill>
      <patternFill patternType="solid">
        <fgColor rgb="FFD7C6CE"/>
        <bgColor indexed="64"/>
      </patternFill>
    </fill>
    <fill>
      <patternFill patternType="solid">
        <fgColor rgb="FFC69495"/>
        <bgColor indexed="64"/>
      </patternFill>
    </fill>
    <fill>
      <patternFill patternType="solid">
        <fgColor rgb="FFA5452F"/>
        <bgColor indexed="64"/>
      </patternFill>
    </fill>
    <fill>
      <patternFill patternType="solid">
        <fgColor rgb="FF96A09F"/>
        <bgColor indexed="64"/>
      </patternFill>
    </fill>
    <fill>
      <patternFill patternType="solid">
        <fgColor rgb="FFFAE393"/>
        <bgColor indexed="64"/>
      </patternFill>
    </fill>
    <fill>
      <patternFill patternType="solid">
        <fgColor rgb="FF176268"/>
        <bgColor indexed="64"/>
      </patternFill>
    </fill>
    <fill>
      <patternFill patternType="solid">
        <fgColor rgb="FFBEDDFC"/>
        <bgColor indexed="64"/>
      </patternFill>
    </fill>
    <fill>
      <patternFill patternType="solid">
        <fgColor rgb="FF940595"/>
        <bgColor indexed="64"/>
      </patternFill>
    </fill>
    <fill>
      <patternFill patternType="solid">
        <fgColor rgb="FFC09DA4"/>
        <bgColor indexed="64"/>
      </patternFill>
    </fill>
    <fill>
      <patternFill patternType="solid">
        <fgColor rgb="FFF2BBC6"/>
        <bgColor indexed="64"/>
      </patternFill>
    </fill>
    <fill>
      <patternFill patternType="solid">
        <fgColor rgb="FFB38561"/>
        <bgColor indexed="64"/>
      </patternFill>
    </fill>
    <fill>
      <patternFill patternType="solid">
        <fgColor rgb="FFF8FBE6"/>
        <bgColor indexed="64"/>
      </patternFill>
    </fill>
    <fill>
      <patternFill patternType="solid">
        <fgColor rgb="FFEDF878"/>
        <bgColor indexed="64"/>
      </patternFill>
    </fill>
    <fill>
      <patternFill patternType="solid">
        <fgColor rgb="FF0A4241"/>
        <bgColor indexed="64"/>
      </patternFill>
    </fill>
    <fill>
      <patternFill patternType="solid">
        <fgColor rgb="FF6BB1BB"/>
        <bgColor indexed="64"/>
      </patternFill>
    </fill>
    <fill>
      <patternFill patternType="solid">
        <fgColor rgb="FF383995"/>
        <bgColor indexed="64"/>
      </patternFill>
    </fill>
    <fill>
      <patternFill patternType="solid">
        <fgColor rgb="FFB58B9F"/>
        <bgColor indexed="64"/>
      </patternFill>
    </fill>
    <fill>
      <patternFill patternType="solid">
        <fgColor rgb="FFF7C3D0"/>
        <bgColor indexed="64"/>
      </patternFill>
    </fill>
    <fill>
      <patternFill patternType="solid">
        <fgColor rgb="FFCACADA"/>
        <bgColor indexed="64"/>
      </patternFill>
    </fill>
    <fill>
      <patternFill patternType="solid">
        <fgColor rgb="FFE1C9BD"/>
        <bgColor indexed="64"/>
      </patternFill>
    </fill>
    <fill>
      <patternFill patternType="solid">
        <fgColor rgb="FF343B1A"/>
        <bgColor indexed="64"/>
      </patternFill>
    </fill>
    <fill>
      <patternFill patternType="solid">
        <fgColor rgb="FFC8E2F9"/>
        <bgColor indexed="64"/>
      </patternFill>
    </fill>
    <fill>
      <patternFill patternType="solid">
        <fgColor rgb="FFFADBF8"/>
        <bgColor indexed="64"/>
      </patternFill>
    </fill>
    <fill>
      <patternFill patternType="solid">
        <fgColor rgb="FF937D8A"/>
        <bgColor indexed="64"/>
      </patternFill>
    </fill>
    <fill>
      <patternFill patternType="solid">
        <fgColor rgb="FFEC806D"/>
        <bgColor indexed="64"/>
      </patternFill>
    </fill>
    <fill>
      <patternFill patternType="solid">
        <fgColor rgb="FF9B9C94"/>
        <bgColor indexed="64"/>
      </patternFill>
    </fill>
    <fill>
      <patternFill patternType="solid">
        <fgColor rgb="FFF3F6A9"/>
        <bgColor indexed="64"/>
      </patternFill>
    </fill>
    <fill>
      <patternFill patternType="solid">
        <fgColor rgb="FFE8FAA6"/>
        <bgColor indexed="64"/>
      </patternFill>
    </fill>
    <fill>
      <patternFill patternType="solid">
        <fgColor rgb="FF7EC5F9"/>
        <bgColor indexed="64"/>
      </patternFill>
    </fill>
    <fill>
      <patternFill patternType="solid">
        <fgColor rgb="FF768AE1"/>
        <bgColor indexed="64"/>
      </patternFill>
    </fill>
    <fill>
      <patternFill patternType="solid">
        <fgColor rgb="FFDEBEE5"/>
        <bgColor indexed="64"/>
      </patternFill>
    </fill>
    <fill>
      <patternFill patternType="solid">
        <fgColor rgb="FFE09DAF"/>
        <bgColor indexed="64"/>
      </patternFill>
    </fill>
    <fill>
      <patternFill patternType="solid">
        <fgColor rgb="FF4E846D"/>
        <bgColor indexed="64"/>
      </patternFill>
    </fill>
    <fill>
      <patternFill patternType="solid">
        <fgColor rgb="FFA9E8E0"/>
        <bgColor indexed="64"/>
      </patternFill>
    </fill>
    <fill>
      <patternFill patternType="solid">
        <fgColor rgb="FF4950C2"/>
        <bgColor indexed="64"/>
      </patternFill>
    </fill>
    <fill>
      <patternFill patternType="solid">
        <fgColor rgb="FFE84854"/>
        <bgColor indexed="64"/>
      </patternFill>
    </fill>
    <fill>
      <patternFill patternType="solid">
        <fgColor rgb="FFFEC832"/>
        <bgColor indexed="64"/>
      </patternFill>
    </fill>
    <fill>
      <patternFill patternType="solid">
        <fgColor rgb="FF907C35"/>
        <bgColor indexed="64"/>
      </patternFill>
    </fill>
    <fill>
      <patternFill patternType="solid">
        <fgColor rgb="FF42ADD1"/>
        <bgColor indexed="64"/>
      </patternFill>
    </fill>
    <fill>
      <patternFill patternType="solid">
        <fgColor rgb="FFD6C6EB"/>
        <bgColor indexed="64"/>
      </patternFill>
    </fill>
    <fill>
      <patternFill patternType="solid">
        <fgColor rgb="FFD0E0AF"/>
        <bgColor indexed="64"/>
      </patternFill>
    </fill>
    <fill>
      <patternFill patternType="solid">
        <fgColor rgb="FFD0DEEF"/>
        <bgColor indexed="64"/>
      </patternFill>
    </fill>
    <fill>
      <patternFill patternType="solid">
        <fgColor rgb="FF9EE5BB"/>
        <bgColor indexed="64"/>
      </patternFill>
    </fill>
    <fill>
      <patternFill patternType="solid">
        <fgColor rgb="FFBDCEED"/>
        <bgColor indexed="64"/>
      </patternFill>
    </fill>
    <fill>
      <patternFill patternType="solid">
        <fgColor rgb="FFC6DF5F"/>
        <bgColor indexed="64"/>
      </patternFill>
    </fill>
    <fill>
      <patternFill patternType="solid">
        <fgColor rgb="FF364A89"/>
        <bgColor indexed="64"/>
      </patternFill>
    </fill>
    <fill>
      <patternFill patternType="solid">
        <fgColor rgb="FFE3FBB1"/>
        <bgColor indexed="64"/>
      </patternFill>
    </fill>
    <fill>
      <patternFill patternType="solid">
        <fgColor rgb="FFB2F694"/>
        <bgColor indexed="64"/>
      </patternFill>
    </fill>
    <fill>
      <patternFill patternType="solid">
        <fgColor rgb="FF92AD60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DashDot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21" borderId="8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222" borderId="11" applyNumberFormat="0" applyAlignment="0" applyProtection="0">
      <alignment vertical="center"/>
    </xf>
    <xf numFmtId="0" fontId="27" fillId="223" borderId="12" applyNumberFormat="0" applyAlignment="0" applyProtection="0">
      <alignment vertical="center"/>
    </xf>
    <xf numFmtId="0" fontId="28" fillId="223" borderId="11" applyNumberFormat="0" applyAlignment="0" applyProtection="0">
      <alignment vertical="center"/>
    </xf>
    <xf numFmtId="0" fontId="29" fillId="224" borderId="13" applyNumberFormat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0" borderId="15" applyNumberFormat="0" applyFill="0" applyAlignment="0" applyProtection="0">
      <alignment vertical="center"/>
    </xf>
    <xf numFmtId="0" fontId="32" fillId="225" borderId="0" applyNumberFormat="0" applyBorder="0" applyAlignment="0" applyProtection="0">
      <alignment vertical="center"/>
    </xf>
    <xf numFmtId="0" fontId="33" fillId="226" borderId="0" applyNumberFormat="0" applyBorder="0" applyAlignment="0" applyProtection="0">
      <alignment vertical="center"/>
    </xf>
    <xf numFmtId="0" fontId="34" fillId="227" borderId="0" applyNumberFormat="0" applyBorder="0" applyAlignment="0" applyProtection="0">
      <alignment vertical="center"/>
    </xf>
    <xf numFmtId="0" fontId="35" fillId="228" borderId="0" applyNumberFormat="0" applyBorder="0" applyAlignment="0" applyProtection="0">
      <alignment vertical="center"/>
    </xf>
    <xf numFmtId="0" fontId="36" fillId="229" borderId="0" applyNumberFormat="0" applyBorder="0" applyAlignment="0" applyProtection="0">
      <alignment vertical="center"/>
    </xf>
    <xf numFmtId="0" fontId="36" fillId="230" borderId="0" applyNumberFormat="0" applyBorder="0" applyAlignment="0" applyProtection="0">
      <alignment vertical="center"/>
    </xf>
    <xf numFmtId="0" fontId="35" fillId="231" borderId="0" applyNumberFormat="0" applyBorder="0" applyAlignment="0" applyProtection="0">
      <alignment vertical="center"/>
    </xf>
    <xf numFmtId="0" fontId="35" fillId="232" borderId="0" applyNumberFormat="0" applyBorder="0" applyAlignment="0" applyProtection="0">
      <alignment vertical="center"/>
    </xf>
    <xf numFmtId="0" fontId="36" fillId="233" borderId="0" applyNumberFormat="0" applyBorder="0" applyAlignment="0" applyProtection="0">
      <alignment vertical="center"/>
    </xf>
    <xf numFmtId="0" fontId="36" fillId="234" borderId="0" applyNumberFormat="0" applyBorder="0" applyAlignment="0" applyProtection="0">
      <alignment vertical="center"/>
    </xf>
    <xf numFmtId="0" fontId="35" fillId="235" borderId="0" applyNumberFormat="0" applyBorder="0" applyAlignment="0" applyProtection="0">
      <alignment vertical="center"/>
    </xf>
    <xf numFmtId="0" fontId="35" fillId="236" borderId="0" applyNumberFormat="0" applyBorder="0" applyAlignment="0" applyProtection="0">
      <alignment vertical="center"/>
    </xf>
    <xf numFmtId="0" fontId="36" fillId="237" borderId="0" applyNumberFormat="0" applyBorder="0" applyAlignment="0" applyProtection="0">
      <alignment vertical="center"/>
    </xf>
    <xf numFmtId="0" fontId="36" fillId="238" borderId="0" applyNumberFormat="0" applyBorder="0" applyAlignment="0" applyProtection="0">
      <alignment vertical="center"/>
    </xf>
    <xf numFmtId="0" fontId="35" fillId="239" borderId="0" applyNumberFormat="0" applyBorder="0" applyAlignment="0" applyProtection="0">
      <alignment vertical="center"/>
    </xf>
    <xf numFmtId="0" fontId="35" fillId="240" borderId="0" applyNumberFormat="0" applyBorder="0" applyAlignment="0" applyProtection="0">
      <alignment vertical="center"/>
    </xf>
    <xf numFmtId="0" fontId="36" fillId="241" borderId="0" applyNumberFormat="0" applyBorder="0" applyAlignment="0" applyProtection="0">
      <alignment vertical="center"/>
    </xf>
    <xf numFmtId="0" fontId="36" fillId="242" borderId="0" applyNumberFormat="0" applyBorder="0" applyAlignment="0" applyProtection="0">
      <alignment vertical="center"/>
    </xf>
    <xf numFmtId="0" fontId="35" fillId="243" borderId="0" applyNumberFormat="0" applyBorder="0" applyAlignment="0" applyProtection="0">
      <alignment vertical="center"/>
    </xf>
    <xf numFmtId="0" fontId="35" fillId="244" borderId="0" applyNumberFormat="0" applyBorder="0" applyAlignment="0" applyProtection="0">
      <alignment vertical="center"/>
    </xf>
    <xf numFmtId="0" fontId="36" fillId="245" borderId="0" applyNumberFormat="0" applyBorder="0" applyAlignment="0" applyProtection="0">
      <alignment vertical="center"/>
    </xf>
    <xf numFmtId="0" fontId="36" fillId="246" borderId="0" applyNumberFormat="0" applyBorder="0" applyAlignment="0" applyProtection="0">
      <alignment vertical="center"/>
    </xf>
    <xf numFmtId="0" fontId="35" fillId="247" borderId="0" applyNumberFormat="0" applyBorder="0" applyAlignment="0" applyProtection="0">
      <alignment vertical="center"/>
    </xf>
    <xf numFmtId="0" fontId="35" fillId="248" borderId="0" applyNumberFormat="0" applyBorder="0" applyAlignment="0" applyProtection="0">
      <alignment vertical="center"/>
    </xf>
    <xf numFmtId="0" fontId="36" fillId="249" borderId="0" applyNumberFormat="0" applyBorder="0" applyAlignment="0" applyProtection="0">
      <alignment vertical="center"/>
    </xf>
    <xf numFmtId="0" fontId="36" fillId="250" borderId="0" applyNumberFormat="0" applyBorder="0" applyAlignment="0" applyProtection="0">
      <alignment vertical="center"/>
    </xf>
    <xf numFmtId="0" fontId="35" fillId="251" borderId="0" applyNumberFormat="0" applyBorder="0" applyAlignment="0" applyProtection="0">
      <alignment vertical="center"/>
    </xf>
  </cellStyleXfs>
  <cellXfs count="250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49" fontId="4" fillId="0" borderId="1" xfId="0" applyNumberFormat="1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left" vertical="top" wrapText="1"/>
    </xf>
    <xf numFmtId="0" fontId="4" fillId="11" borderId="1" xfId="0" applyFont="1" applyFill="1" applyBorder="1" applyAlignment="1">
      <alignment horizontal="left" vertical="top" wrapText="1"/>
    </xf>
    <xf numFmtId="0" fontId="4" fillId="12" borderId="1" xfId="0" applyFont="1" applyFill="1" applyBorder="1" applyAlignment="1">
      <alignment horizontal="left" vertical="top" wrapText="1"/>
    </xf>
    <xf numFmtId="0" fontId="4" fillId="13" borderId="1" xfId="0" applyFont="1" applyFill="1" applyBorder="1" applyAlignment="1">
      <alignment horizontal="left" vertical="top" wrapText="1"/>
    </xf>
    <xf numFmtId="0" fontId="4" fillId="14" borderId="1" xfId="0" applyFont="1" applyFill="1" applyBorder="1" applyAlignment="1">
      <alignment horizontal="left" vertical="top" wrapText="1"/>
    </xf>
    <xf numFmtId="0" fontId="4" fillId="15" borderId="1" xfId="0" applyFont="1" applyFill="1" applyBorder="1" applyAlignment="1">
      <alignment horizontal="left" vertical="top" wrapText="1"/>
    </xf>
    <xf numFmtId="0" fontId="4" fillId="16" borderId="1" xfId="0" applyFont="1" applyFill="1" applyBorder="1" applyAlignment="1">
      <alignment horizontal="left" vertical="top" wrapText="1"/>
    </xf>
    <xf numFmtId="0" fontId="4" fillId="17" borderId="1" xfId="0" applyFont="1" applyFill="1" applyBorder="1" applyAlignment="1">
      <alignment horizontal="left" vertical="top" wrapText="1"/>
    </xf>
    <xf numFmtId="0" fontId="4" fillId="18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4" fillId="19" borderId="1" xfId="0" applyFont="1" applyFill="1" applyBorder="1" applyAlignment="1">
      <alignment horizontal="left" vertical="top" wrapText="1"/>
    </xf>
    <xf numFmtId="0" fontId="4" fillId="20" borderId="1" xfId="0" applyFont="1" applyFill="1" applyBorder="1" applyAlignment="1">
      <alignment horizontal="left" vertical="top" wrapText="1"/>
    </xf>
    <xf numFmtId="0" fontId="4" fillId="21" borderId="1" xfId="0" applyFont="1" applyFill="1" applyBorder="1" applyAlignment="1">
      <alignment horizontal="left" vertical="top" wrapText="1"/>
    </xf>
    <xf numFmtId="0" fontId="4" fillId="22" borderId="1" xfId="0" applyFont="1" applyFill="1" applyBorder="1" applyAlignment="1">
      <alignment horizontal="left" vertical="top" wrapText="1"/>
    </xf>
    <xf numFmtId="0" fontId="4" fillId="23" borderId="1" xfId="0" applyFont="1" applyFill="1" applyBorder="1" applyAlignment="1">
      <alignment horizontal="left" vertical="top" wrapText="1"/>
    </xf>
    <xf numFmtId="0" fontId="4" fillId="24" borderId="1" xfId="0" applyFont="1" applyFill="1" applyBorder="1" applyAlignment="1">
      <alignment horizontal="left" vertical="top" wrapText="1"/>
    </xf>
    <xf numFmtId="0" fontId="4" fillId="25" borderId="1" xfId="0" applyFont="1" applyFill="1" applyBorder="1" applyAlignment="1">
      <alignment horizontal="left" vertical="top" wrapText="1"/>
    </xf>
    <xf numFmtId="0" fontId="4" fillId="26" borderId="1" xfId="0" applyFont="1" applyFill="1" applyBorder="1" applyAlignment="1">
      <alignment horizontal="left" vertical="top" wrapText="1"/>
    </xf>
    <xf numFmtId="0" fontId="4" fillId="27" borderId="1" xfId="0" applyFont="1" applyFill="1" applyBorder="1" applyAlignment="1">
      <alignment horizontal="left" vertical="top" wrapText="1"/>
    </xf>
    <xf numFmtId="0" fontId="4" fillId="28" borderId="1" xfId="0" applyFont="1" applyFill="1" applyBorder="1" applyAlignment="1">
      <alignment horizontal="left" vertical="top" wrapText="1"/>
    </xf>
    <xf numFmtId="0" fontId="4" fillId="29" borderId="1" xfId="0" applyFont="1" applyFill="1" applyBorder="1" applyAlignment="1">
      <alignment horizontal="left" vertical="top" wrapText="1"/>
    </xf>
    <xf numFmtId="0" fontId="4" fillId="30" borderId="1" xfId="0" applyFont="1" applyFill="1" applyBorder="1" applyAlignment="1">
      <alignment horizontal="left" vertical="top" wrapText="1"/>
    </xf>
    <xf numFmtId="0" fontId="4" fillId="31" borderId="1" xfId="0" applyFont="1" applyFill="1" applyBorder="1" applyAlignment="1">
      <alignment horizontal="left" vertical="top" wrapText="1"/>
    </xf>
    <xf numFmtId="0" fontId="4" fillId="32" borderId="1" xfId="0" applyFont="1" applyFill="1" applyBorder="1" applyAlignment="1">
      <alignment horizontal="left" vertical="top" wrapText="1"/>
    </xf>
    <xf numFmtId="0" fontId="4" fillId="33" borderId="1" xfId="0" applyFont="1" applyFill="1" applyBorder="1" applyAlignment="1">
      <alignment horizontal="left" vertical="top" wrapText="1"/>
    </xf>
    <xf numFmtId="0" fontId="4" fillId="34" borderId="1" xfId="0" applyFont="1" applyFill="1" applyBorder="1" applyAlignment="1">
      <alignment horizontal="left" vertical="top" wrapText="1"/>
    </xf>
    <xf numFmtId="0" fontId="4" fillId="35" borderId="1" xfId="0" applyFont="1" applyFill="1" applyBorder="1" applyAlignment="1">
      <alignment horizontal="left" vertical="top" wrapText="1"/>
    </xf>
    <xf numFmtId="0" fontId="4" fillId="36" borderId="1" xfId="0" applyFont="1" applyFill="1" applyBorder="1" applyAlignment="1">
      <alignment horizontal="left" vertical="top" wrapText="1"/>
    </xf>
    <xf numFmtId="0" fontId="4" fillId="37" borderId="1" xfId="0" applyFont="1" applyFill="1" applyBorder="1" applyAlignment="1">
      <alignment horizontal="left" vertical="top" wrapText="1"/>
    </xf>
    <xf numFmtId="0" fontId="4" fillId="38" borderId="1" xfId="0" applyFont="1" applyFill="1" applyBorder="1" applyAlignment="1">
      <alignment horizontal="left" vertical="top" wrapText="1"/>
    </xf>
    <xf numFmtId="0" fontId="4" fillId="39" borderId="1" xfId="0" applyFont="1" applyFill="1" applyBorder="1" applyAlignment="1">
      <alignment horizontal="left" vertical="top" wrapText="1"/>
    </xf>
    <xf numFmtId="0" fontId="4" fillId="40" borderId="1" xfId="0" applyFont="1" applyFill="1" applyBorder="1" applyAlignment="1">
      <alignment horizontal="left" vertical="top" wrapText="1"/>
    </xf>
    <xf numFmtId="0" fontId="4" fillId="41" borderId="1" xfId="0" applyFont="1" applyFill="1" applyBorder="1" applyAlignment="1">
      <alignment horizontal="left" vertical="top" wrapText="1"/>
    </xf>
    <xf numFmtId="0" fontId="4" fillId="42" borderId="1" xfId="0" applyFont="1" applyFill="1" applyBorder="1" applyAlignment="1">
      <alignment horizontal="left" vertical="top" wrapText="1"/>
    </xf>
    <xf numFmtId="0" fontId="4" fillId="43" borderId="1" xfId="0" applyFont="1" applyFill="1" applyBorder="1" applyAlignment="1">
      <alignment horizontal="left" vertical="top" wrapText="1"/>
    </xf>
    <xf numFmtId="0" fontId="4" fillId="44" borderId="1" xfId="0" applyFont="1" applyFill="1" applyBorder="1" applyAlignment="1">
      <alignment horizontal="left" vertical="top" wrapText="1"/>
    </xf>
    <xf numFmtId="0" fontId="4" fillId="45" borderId="1" xfId="0" applyFont="1" applyFill="1" applyBorder="1" applyAlignment="1">
      <alignment horizontal="left" vertical="top" wrapText="1"/>
    </xf>
    <xf numFmtId="0" fontId="4" fillId="46" borderId="1" xfId="0" applyFont="1" applyFill="1" applyBorder="1" applyAlignment="1">
      <alignment horizontal="left" vertical="top" wrapText="1"/>
    </xf>
    <xf numFmtId="0" fontId="4" fillId="47" borderId="1" xfId="0" applyFont="1" applyFill="1" applyBorder="1" applyAlignment="1">
      <alignment horizontal="left" vertical="top" wrapText="1"/>
    </xf>
    <xf numFmtId="0" fontId="4" fillId="48" borderId="1" xfId="0" applyFont="1" applyFill="1" applyBorder="1" applyAlignment="1">
      <alignment horizontal="left" vertical="top" wrapText="1"/>
    </xf>
    <xf numFmtId="0" fontId="4" fillId="49" borderId="1" xfId="0" applyFont="1" applyFill="1" applyBorder="1" applyAlignment="1">
      <alignment horizontal="left" vertical="top" wrapText="1"/>
    </xf>
    <xf numFmtId="0" fontId="4" fillId="50" borderId="1" xfId="0" applyFont="1" applyFill="1" applyBorder="1" applyAlignment="1">
      <alignment horizontal="left" vertical="top" wrapText="1"/>
    </xf>
    <xf numFmtId="0" fontId="4" fillId="51" borderId="1" xfId="0" applyFont="1" applyFill="1" applyBorder="1" applyAlignment="1">
      <alignment horizontal="left" vertical="top" wrapText="1"/>
    </xf>
    <xf numFmtId="0" fontId="4" fillId="52" borderId="1" xfId="0" applyFont="1" applyFill="1" applyBorder="1" applyAlignment="1">
      <alignment horizontal="left" vertical="top" wrapText="1"/>
    </xf>
    <xf numFmtId="0" fontId="4" fillId="53" borderId="1" xfId="0" applyFont="1" applyFill="1" applyBorder="1" applyAlignment="1">
      <alignment horizontal="left" vertical="top" wrapText="1"/>
    </xf>
    <xf numFmtId="0" fontId="4" fillId="54" borderId="1" xfId="0" applyFont="1" applyFill="1" applyBorder="1" applyAlignment="1">
      <alignment horizontal="left" vertical="top" wrapText="1"/>
    </xf>
    <xf numFmtId="0" fontId="4" fillId="55" borderId="1" xfId="0" applyFont="1" applyFill="1" applyBorder="1" applyAlignment="1">
      <alignment horizontal="left" vertical="top" wrapText="1"/>
    </xf>
    <xf numFmtId="0" fontId="4" fillId="56" borderId="1" xfId="0" applyFont="1" applyFill="1" applyBorder="1" applyAlignment="1">
      <alignment horizontal="left" vertical="top" wrapText="1"/>
    </xf>
    <xf numFmtId="0" fontId="4" fillId="57" borderId="1" xfId="0" applyFont="1" applyFill="1" applyBorder="1" applyAlignment="1">
      <alignment horizontal="left" vertical="top" wrapText="1"/>
    </xf>
    <xf numFmtId="0" fontId="4" fillId="58" borderId="1" xfId="0" applyFont="1" applyFill="1" applyBorder="1" applyAlignment="1">
      <alignment horizontal="left" vertical="top" wrapText="1"/>
    </xf>
    <xf numFmtId="0" fontId="4" fillId="59" borderId="1" xfId="0" applyFont="1" applyFill="1" applyBorder="1" applyAlignment="1">
      <alignment horizontal="left" vertical="top" wrapText="1"/>
    </xf>
    <xf numFmtId="0" fontId="4" fillId="60" borderId="1" xfId="0" applyFont="1" applyFill="1" applyBorder="1" applyAlignment="1">
      <alignment horizontal="left" vertical="top" wrapText="1"/>
    </xf>
    <xf numFmtId="0" fontId="4" fillId="61" borderId="1" xfId="0" applyFont="1" applyFill="1" applyBorder="1" applyAlignment="1">
      <alignment horizontal="left" vertical="top" wrapText="1"/>
    </xf>
    <xf numFmtId="0" fontId="4" fillId="62" borderId="1" xfId="0" applyFont="1" applyFill="1" applyBorder="1" applyAlignment="1">
      <alignment horizontal="left" vertical="top" wrapText="1"/>
    </xf>
    <xf numFmtId="0" fontId="4" fillId="63" borderId="1" xfId="0" applyFont="1" applyFill="1" applyBorder="1" applyAlignment="1">
      <alignment horizontal="left" vertical="top" wrapText="1"/>
    </xf>
    <xf numFmtId="0" fontId="4" fillId="64" borderId="1" xfId="0" applyFont="1" applyFill="1" applyBorder="1" applyAlignment="1">
      <alignment horizontal="left" vertical="top" wrapText="1"/>
    </xf>
    <xf numFmtId="0" fontId="4" fillId="65" borderId="1" xfId="0" applyFont="1" applyFill="1" applyBorder="1" applyAlignment="1">
      <alignment horizontal="left" vertical="top" wrapText="1"/>
    </xf>
    <xf numFmtId="0" fontId="4" fillId="66" borderId="1" xfId="0" applyFont="1" applyFill="1" applyBorder="1" applyAlignment="1">
      <alignment horizontal="left" vertical="top" wrapText="1"/>
    </xf>
    <xf numFmtId="0" fontId="4" fillId="67" borderId="1" xfId="0" applyFont="1" applyFill="1" applyBorder="1" applyAlignment="1">
      <alignment horizontal="left" vertical="top" wrapText="1"/>
    </xf>
    <xf numFmtId="0" fontId="4" fillId="68" borderId="1" xfId="0" applyFont="1" applyFill="1" applyBorder="1" applyAlignment="1">
      <alignment horizontal="left" vertical="top" wrapText="1"/>
    </xf>
    <xf numFmtId="0" fontId="4" fillId="69" borderId="1" xfId="0" applyFont="1" applyFill="1" applyBorder="1" applyAlignment="1">
      <alignment horizontal="left" vertical="top" wrapText="1"/>
    </xf>
    <xf numFmtId="0" fontId="4" fillId="70" borderId="1" xfId="0" applyFont="1" applyFill="1" applyBorder="1" applyAlignment="1">
      <alignment horizontal="left" vertical="top" wrapText="1"/>
    </xf>
    <xf numFmtId="0" fontId="4" fillId="71" borderId="1" xfId="0" applyFont="1" applyFill="1" applyBorder="1" applyAlignment="1">
      <alignment horizontal="left" vertical="top" wrapText="1"/>
    </xf>
    <xf numFmtId="0" fontId="4" fillId="72" borderId="1" xfId="0" applyFont="1" applyFill="1" applyBorder="1" applyAlignment="1">
      <alignment horizontal="left" vertical="top" wrapText="1"/>
    </xf>
    <xf numFmtId="0" fontId="4" fillId="73" borderId="1" xfId="0" applyFont="1" applyFill="1" applyBorder="1" applyAlignment="1">
      <alignment horizontal="left" vertical="top" wrapText="1"/>
    </xf>
    <xf numFmtId="0" fontId="4" fillId="74" borderId="1" xfId="0" applyFont="1" applyFill="1" applyBorder="1" applyAlignment="1">
      <alignment horizontal="left" vertical="top" wrapText="1"/>
    </xf>
    <xf numFmtId="0" fontId="4" fillId="75" borderId="1" xfId="0" applyFont="1" applyFill="1" applyBorder="1" applyAlignment="1">
      <alignment horizontal="left" vertical="top" wrapText="1"/>
    </xf>
    <xf numFmtId="0" fontId="4" fillId="76" borderId="1" xfId="0" applyFont="1" applyFill="1" applyBorder="1" applyAlignment="1">
      <alignment horizontal="left" vertical="top" wrapText="1"/>
    </xf>
    <xf numFmtId="0" fontId="4" fillId="77" borderId="1" xfId="0" applyFont="1" applyFill="1" applyBorder="1" applyAlignment="1">
      <alignment horizontal="left" vertical="top" wrapText="1"/>
    </xf>
    <xf numFmtId="0" fontId="4" fillId="78" borderId="1" xfId="0" applyFont="1" applyFill="1" applyBorder="1" applyAlignment="1">
      <alignment horizontal="left" vertical="top" wrapText="1"/>
    </xf>
    <xf numFmtId="0" fontId="4" fillId="79" borderId="1" xfId="0" applyFont="1" applyFill="1" applyBorder="1" applyAlignment="1">
      <alignment horizontal="left" vertical="top" wrapText="1"/>
    </xf>
    <xf numFmtId="0" fontId="4" fillId="80" borderId="1" xfId="0" applyFont="1" applyFill="1" applyBorder="1" applyAlignment="1">
      <alignment horizontal="left" vertical="top" wrapText="1"/>
    </xf>
    <xf numFmtId="0" fontId="4" fillId="81" borderId="1" xfId="0" applyFont="1" applyFill="1" applyBorder="1" applyAlignment="1">
      <alignment horizontal="left" vertical="top" wrapText="1"/>
    </xf>
    <xf numFmtId="0" fontId="4" fillId="82" borderId="1" xfId="0" applyFont="1" applyFill="1" applyBorder="1" applyAlignment="1">
      <alignment horizontal="left" vertical="top" wrapText="1"/>
    </xf>
    <xf numFmtId="0" fontId="4" fillId="83" borderId="1" xfId="0" applyFont="1" applyFill="1" applyBorder="1" applyAlignment="1">
      <alignment horizontal="left" vertical="top" wrapText="1"/>
    </xf>
    <xf numFmtId="0" fontId="4" fillId="84" borderId="1" xfId="0" applyFont="1" applyFill="1" applyBorder="1" applyAlignment="1">
      <alignment horizontal="left" vertical="top" wrapText="1"/>
    </xf>
    <xf numFmtId="0" fontId="4" fillId="85" borderId="1" xfId="0" applyFont="1" applyFill="1" applyBorder="1" applyAlignment="1">
      <alignment horizontal="left" vertical="top" wrapText="1"/>
    </xf>
    <xf numFmtId="0" fontId="4" fillId="86" borderId="1" xfId="0" applyFont="1" applyFill="1" applyBorder="1" applyAlignment="1">
      <alignment horizontal="left" vertical="top" wrapText="1"/>
    </xf>
    <xf numFmtId="0" fontId="4" fillId="87" borderId="1" xfId="0" applyFont="1" applyFill="1" applyBorder="1" applyAlignment="1">
      <alignment horizontal="left" vertical="top" wrapText="1"/>
    </xf>
    <xf numFmtId="0" fontId="4" fillId="88" borderId="1" xfId="0" applyFont="1" applyFill="1" applyBorder="1" applyAlignment="1">
      <alignment horizontal="left" vertical="top" wrapText="1"/>
    </xf>
    <xf numFmtId="0" fontId="4" fillId="89" borderId="1" xfId="0" applyFont="1" applyFill="1" applyBorder="1" applyAlignment="1">
      <alignment horizontal="left" vertical="top" wrapText="1"/>
    </xf>
    <xf numFmtId="0" fontId="4" fillId="90" borderId="1" xfId="0" applyFont="1" applyFill="1" applyBorder="1" applyAlignment="1">
      <alignment horizontal="left" vertical="top" wrapText="1"/>
    </xf>
    <xf numFmtId="0" fontId="4" fillId="91" borderId="1" xfId="0" applyFont="1" applyFill="1" applyBorder="1" applyAlignment="1">
      <alignment horizontal="left" vertical="top" wrapText="1"/>
    </xf>
    <xf numFmtId="0" fontId="4" fillId="92" borderId="1" xfId="0" applyFont="1" applyFill="1" applyBorder="1" applyAlignment="1">
      <alignment horizontal="left" vertical="top" wrapText="1"/>
    </xf>
    <xf numFmtId="0" fontId="4" fillId="93" borderId="1" xfId="0" applyFont="1" applyFill="1" applyBorder="1" applyAlignment="1">
      <alignment horizontal="left" vertical="top" wrapText="1"/>
    </xf>
    <xf numFmtId="0" fontId="4" fillId="94" borderId="1" xfId="0" applyFont="1" applyFill="1" applyBorder="1" applyAlignment="1">
      <alignment horizontal="left" vertical="top" wrapText="1"/>
    </xf>
    <xf numFmtId="0" fontId="4" fillId="95" borderId="1" xfId="0" applyFont="1" applyFill="1" applyBorder="1" applyAlignment="1">
      <alignment horizontal="left" vertical="top" wrapText="1"/>
    </xf>
    <xf numFmtId="0" fontId="4" fillId="96" borderId="1" xfId="0" applyFont="1" applyFill="1" applyBorder="1" applyAlignment="1">
      <alignment horizontal="left" vertical="top" wrapText="1"/>
    </xf>
    <xf numFmtId="0" fontId="4" fillId="97" borderId="1" xfId="0" applyFont="1" applyFill="1" applyBorder="1" applyAlignment="1">
      <alignment horizontal="left" vertical="top" wrapText="1"/>
    </xf>
    <xf numFmtId="0" fontId="4" fillId="98" borderId="1" xfId="0" applyFont="1" applyFill="1" applyBorder="1" applyAlignment="1">
      <alignment horizontal="left" vertical="top" wrapText="1"/>
    </xf>
    <xf numFmtId="0" fontId="4" fillId="99" borderId="1" xfId="0" applyFont="1" applyFill="1" applyBorder="1" applyAlignment="1">
      <alignment horizontal="left" vertical="top" wrapText="1"/>
    </xf>
    <xf numFmtId="0" fontId="4" fillId="100" borderId="1" xfId="0" applyFont="1" applyFill="1" applyBorder="1" applyAlignment="1">
      <alignment horizontal="left" vertical="top" wrapText="1"/>
    </xf>
    <xf numFmtId="0" fontId="4" fillId="101" borderId="1" xfId="0" applyFont="1" applyFill="1" applyBorder="1" applyAlignment="1">
      <alignment horizontal="left" vertical="top" wrapText="1"/>
    </xf>
    <xf numFmtId="0" fontId="4" fillId="102" borderId="1" xfId="0" applyFont="1" applyFill="1" applyBorder="1" applyAlignment="1">
      <alignment horizontal="left" vertical="top" wrapText="1"/>
    </xf>
    <xf numFmtId="0" fontId="4" fillId="103" borderId="1" xfId="0" applyFont="1" applyFill="1" applyBorder="1" applyAlignment="1">
      <alignment horizontal="left" vertical="top" wrapText="1"/>
    </xf>
    <xf numFmtId="0" fontId="4" fillId="104" borderId="1" xfId="0" applyFont="1" applyFill="1" applyBorder="1" applyAlignment="1">
      <alignment horizontal="left" vertical="top" wrapText="1"/>
    </xf>
    <xf numFmtId="0" fontId="4" fillId="105" borderId="1" xfId="0" applyFont="1" applyFill="1" applyBorder="1" applyAlignment="1">
      <alignment horizontal="left" vertical="top" wrapText="1"/>
    </xf>
    <xf numFmtId="0" fontId="4" fillId="106" borderId="1" xfId="0" applyFont="1" applyFill="1" applyBorder="1" applyAlignment="1">
      <alignment horizontal="left" vertical="top" wrapText="1"/>
    </xf>
    <xf numFmtId="0" fontId="4" fillId="107" borderId="1" xfId="0" applyFont="1" applyFill="1" applyBorder="1" applyAlignment="1">
      <alignment horizontal="left" vertical="top" wrapText="1"/>
    </xf>
    <xf numFmtId="0" fontId="4" fillId="108" borderId="1" xfId="0" applyFont="1" applyFill="1" applyBorder="1" applyAlignment="1">
      <alignment horizontal="left" vertical="top" wrapText="1"/>
    </xf>
    <xf numFmtId="0" fontId="4" fillId="109" borderId="1" xfId="0" applyFont="1" applyFill="1" applyBorder="1" applyAlignment="1">
      <alignment horizontal="left" vertical="top" wrapText="1"/>
    </xf>
    <xf numFmtId="0" fontId="4" fillId="110" borderId="1" xfId="0" applyFont="1" applyFill="1" applyBorder="1" applyAlignment="1">
      <alignment horizontal="left" vertical="top" wrapText="1"/>
    </xf>
    <xf numFmtId="0" fontId="4" fillId="111" borderId="1" xfId="0" applyFont="1" applyFill="1" applyBorder="1" applyAlignment="1">
      <alignment horizontal="left" vertical="top" wrapText="1"/>
    </xf>
    <xf numFmtId="0" fontId="4" fillId="112" borderId="1" xfId="0" applyFont="1" applyFill="1" applyBorder="1" applyAlignment="1">
      <alignment horizontal="left" vertical="top" wrapText="1"/>
    </xf>
    <xf numFmtId="0" fontId="4" fillId="113" borderId="1" xfId="0" applyFont="1" applyFill="1" applyBorder="1" applyAlignment="1">
      <alignment horizontal="left" vertical="top" wrapText="1"/>
    </xf>
    <xf numFmtId="0" fontId="4" fillId="114" borderId="1" xfId="0" applyFont="1" applyFill="1" applyBorder="1" applyAlignment="1">
      <alignment horizontal="left" vertical="top" wrapText="1"/>
    </xf>
    <xf numFmtId="0" fontId="4" fillId="115" borderId="1" xfId="0" applyFont="1" applyFill="1" applyBorder="1" applyAlignment="1">
      <alignment horizontal="left" vertical="top" wrapText="1"/>
    </xf>
    <xf numFmtId="0" fontId="4" fillId="116" borderId="1" xfId="0" applyFont="1" applyFill="1" applyBorder="1" applyAlignment="1">
      <alignment horizontal="left" vertical="top" wrapText="1"/>
    </xf>
    <xf numFmtId="0" fontId="4" fillId="117" borderId="1" xfId="0" applyFont="1" applyFill="1" applyBorder="1" applyAlignment="1">
      <alignment horizontal="left" vertical="top" wrapText="1"/>
    </xf>
    <xf numFmtId="0" fontId="4" fillId="118" borderId="1" xfId="0" applyFont="1" applyFill="1" applyBorder="1" applyAlignment="1">
      <alignment horizontal="left" vertical="top" wrapText="1"/>
    </xf>
    <xf numFmtId="0" fontId="4" fillId="119" borderId="1" xfId="0" applyFont="1" applyFill="1" applyBorder="1" applyAlignment="1">
      <alignment horizontal="left" vertical="top" wrapText="1"/>
    </xf>
    <xf numFmtId="0" fontId="4" fillId="120" borderId="1" xfId="0" applyFont="1" applyFill="1" applyBorder="1" applyAlignment="1">
      <alignment horizontal="left" vertical="top" wrapText="1"/>
    </xf>
    <xf numFmtId="0" fontId="4" fillId="121" borderId="1" xfId="0" applyFont="1" applyFill="1" applyBorder="1" applyAlignment="1">
      <alignment horizontal="left" vertical="top" wrapText="1"/>
    </xf>
    <xf numFmtId="0" fontId="4" fillId="122" borderId="1" xfId="0" applyFont="1" applyFill="1" applyBorder="1" applyAlignment="1">
      <alignment horizontal="left" vertical="top" wrapText="1"/>
    </xf>
    <xf numFmtId="0" fontId="4" fillId="123" borderId="1" xfId="0" applyFont="1" applyFill="1" applyBorder="1" applyAlignment="1">
      <alignment horizontal="left" vertical="top" wrapText="1"/>
    </xf>
    <xf numFmtId="0" fontId="4" fillId="124" borderId="1" xfId="0" applyFont="1" applyFill="1" applyBorder="1" applyAlignment="1">
      <alignment horizontal="left" vertical="top" wrapText="1"/>
    </xf>
    <xf numFmtId="0" fontId="4" fillId="125" borderId="1" xfId="0" applyFont="1" applyFill="1" applyBorder="1" applyAlignment="1">
      <alignment horizontal="left" vertical="top" wrapText="1"/>
    </xf>
    <xf numFmtId="0" fontId="4" fillId="126" borderId="1" xfId="0" applyFont="1" applyFill="1" applyBorder="1" applyAlignment="1">
      <alignment horizontal="left" vertical="top" wrapText="1"/>
    </xf>
    <xf numFmtId="0" fontId="4" fillId="127" borderId="1" xfId="0" applyFont="1" applyFill="1" applyBorder="1" applyAlignment="1">
      <alignment horizontal="left" vertical="top" wrapText="1"/>
    </xf>
    <xf numFmtId="0" fontId="4" fillId="128" borderId="1" xfId="0" applyFont="1" applyFill="1" applyBorder="1" applyAlignment="1">
      <alignment horizontal="left" vertical="top" wrapText="1"/>
    </xf>
    <xf numFmtId="0" fontId="4" fillId="129" borderId="1" xfId="0" applyFont="1" applyFill="1" applyBorder="1" applyAlignment="1">
      <alignment horizontal="left" vertical="top" wrapText="1"/>
    </xf>
    <xf numFmtId="0" fontId="4" fillId="130" borderId="1" xfId="0" applyFont="1" applyFill="1" applyBorder="1" applyAlignment="1">
      <alignment horizontal="left" vertical="top" wrapText="1"/>
    </xf>
    <xf numFmtId="0" fontId="4" fillId="131" borderId="1" xfId="0" applyFont="1" applyFill="1" applyBorder="1" applyAlignment="1">
      <alignment horizontal="left" vertical="top" wrapText="1"/>
    </xf>
    <xf numFmtId="0" fontId="4" fillId="132" borderId="1" xfId="0" applyFont="1" applyFill="1" applyBorder="1" applyAlignment="1">
      <alignment horizontal="left" vertical="top" wrapText="1"/>
    </xf>
    <xf numFmtId="0" fontId="4" fillId="133" borderId="1" xfId="0" applyFont="1" applyFill="1" applyBorder="1" applyAlignment="1">
      <alignment horizontal="left" vertical="top" wrapText="1"/>
    </xf>
    <xf numFmtId="0" fontId="4" fillId="134" borderId="1" xfId="0" applyFont="1" applyFill="1" applyBorder="1" applyAlignment="1">
      <alignment horizontal="left" vertical="top" wrapText="1"/>
    </xf>
    <xf numFmtId="0" fontId="4" fillId="135" borderId="1" xfId="0" applyFont="1" applyFill="1" applyBorder="1" applyAlignment="1">
      <alignment horizontal="left" vertical="top" wrapText="1"/>
    </xf>
    <xf numFmtId="0" fontId="4" fillId="136" borderId="1" xfId="0" applyFont="1" applyFill="1" applyBorder="1" applyAlignment="1">
      <alignment horizontal="left" vertical="top" wrapText="1"/>
    </xf>
    <xf numFmtId="0" fontId="4" fillId="137" borderId="1" xfId="0" applyFont="1" applyFill="1" applyBorder="1" applyAlignment="1">
      <alignment horizontal="left" vertical="top" wrapText="1"/>
    </xf>
    <xf numFmtId="0" fontId="4" fillId="138" borderId="1" xfId="0" applyFont="1" applyFill="1" applyBorder="1" applyAlignment="1">
      <alignment horizontal="left" vertical="top" wrapText="1"/>
    </xf>
    <xf numFmtId="0" fontId="4" fillId="139" borderId="1" xfId="0" applyFont="1" applyFill="1" applyBorder="1" applyAlignment="1">
      <alignment horizontal="left" vertical="top" wrapText="1"/>
    </xf>
    <xf numFmtId="0" fontId="4" fillId="140" borderId="1" xfId="0" applyFont="1" applyFill="1" applyBorder="1" applyAlignment="1">
      <alignment horizontal="left" vertical="top" wrapText="1"/>
    </xf>
    <xf numFmtId="0" fontId="4" fillId="141" borderId="1" xfId="0" applyFont="1" applyFill="1" applyBorder="1" applyAlignment="1">
      <alignment horizontal="left" vertical="top" wrapText="1"/>
    </xf>
    <xf numFmtId="0" fontId="4" fillId="142" borderId="1" xfId="0" applyFont="1" applyFill="1" applyBorder="1" applyAlignment="1">
      <alignment horizontal="left" vertical="top" wrapText="1"/>
    </xf>
    <xf numFmtId="0" fontId="4" fillId="143" borderId="1" xfId="0" applyFont="1" applyFill="1" applyBorder="1" applyAlignment="1">
      <alignment horizontal="left" vertical="top" wrapText="1"/>
    </xf>
    <xf numFmtId="0" fontId="4" fillId="144" borderId="1" xfId="0" applyFont="1" applyFill="1" applyBorder="1" applyAlignment="1">
      <alignment horizontal="left" vertical="top" wrapText="1"/>
    </xf>
    <xf numFmtId="0" fontId="4" fillId="145" borderId="1" xfId="0" applyFont="1" applyFill="1" applyBorder="1" applyAlignment="1">
      <alignment horizontal="left" vertical="top" wrapText="1"/>
    </xf>
    <xf numFmtId="0" fontId="4" fillId="146" borderId="1" xfId="0" applyFont="1" applyFill="1" applyBorder="1" applyAlignment="1">
      <alignment horizontal="left" vertical="top" wrapText="1"/>
    </xf>
    <xf numFmtId="0" fontId="4" fillId="147" borderId="1" xfId="0" applyFont="1" applyFill="1" applyBorder="1" applyAlignment="1">
      <alignment horizontal="left" vertical="top" wrapText="1"/>
    </xf>
    <xf numFmtId="0" fontId="4" fillId="148" borderId="1" xfId="0" applyFont="1" applyFill="1" applyBorder="1" applyAlignment="1">
      <alignment horizontal="left" vertical="top" wrapText="1"/>
    </xf>
    <xf numFmtId="0" fontId="4" fillId="149" borderId="1" xfId="0" applyFont="1" applyFill="1" applyBorder="1" applyAlignment="1">
      <alignment horizontal="left" vertical="top" wrapText="1"/>
    </xf>
    <xf numFmtId="0" fontId="4" fillId="150" borderId="1" xfId="0" applyFont="1" applyFill="1" applyBorder="1" applyAlignment="1">
      <alignment horizontal="left" vertical="top" wrapText="1"/>
    </xf>
    <xf numFmtId="0" fontId="4" fillId="151" borderId="1" xfId="0" applyFont="1" applyFill="1" applyBorder="1" applyAlignment="1">
      <alignment horizontal="left" vertical="top" wrapText="1"/>
    </xf>
    <xf numFmtId="0" fontId="4" fillId="152" borderId="1" xfId="0" applyFont="1" applyFill="1" applyBorder="1" applyAlignment="1">
      <alignment horizontal="left" vertical="top" wrapText="1"/>
    </xf>
    <xf numFmtId="0" fontId="4" fillId="153" borderId="1" xfId="0" applyFont="1" applyFill="1" applyBorder="1" applyAlignment="1">
      <alignment horizontal="left" vertical="top" wrapText="1"/>
    </xf>
    <xf numFmtId="0" fontId="4" fillId="154" borderId="1" xfId="0" applyFont="1" applyFill="1" applyBorder="1" applyAlignment="1">
      <alignment horizontal="left" vertical="top" wrapText="1"/>
    </xf>
    <xf numFmtId="0" fontId="4" fillId="155" borderId="1" xfId="0" applyFont="1" applyFill="1" applyBorder="1" applyAlignment="1">
      <alignment horizontal="left" vertical="top" wrapText="1"/>
    </xf>
    <xf numFmtId="0" fontId="4" fillId="156" borderId="1" xfId="0" applyFont="1" applyFill="1" applyBorder="1" applyAlignment="1">
      <alignment horizontal="left" vertical="top" wrapText="1"/>
    </xf>
    <xf numFmtId="0" fontId="4" fillId="157" borderId="1" xfId="0" applyFont="1" applyFill="1" applyBorder="1" applyAlignment="1">
      <alignment horizontal="left" vertical="top" wrapText="1"/>
    </xf>
    <xf numFmtId="0" fontId="4" fillId="158" borderId="1" xfId="0" applyFont="1" applyFill="1" applyBorder="1" applyAlignment="1">
      <alignment horizontal="left" vertical="top" wrapText="1"/>
    </xf>
    <xf numFmtId="0" fontId="4" fillId="159" borderId="1" xfId="0" applyFont="1" applyFill="1" applyBorder="1" applyAlignment="1">
      <alignment horizontal="left" vertical="top" wrapText="1"/>
    </xf>
    <xf numFmtId="0" fontId="4" fillId="160" borderId="1" xfId="0" applyFont="1" applyFill="1" applyBorder="1" applyAlignment="1">
      <alignment horizontal="left" vertical="top" wrapText="1"/>
    </xf>
    <xf numFmtId="0" fontId="4" fillId="161" borderId="1" xfId="0" applyFont="1" applyFill="1" applyBorder="1" applyAlignment="1">
      <alignment horizontal="left" vertical="top" wrapText="1"/>
    </xf>
    <xf numFmtId="0" fontId="4" fillId="162" borderId="1" xfId="0" applyFont="1" applyFill="1" applyBorder="1" applyAlignment="1">
      <alignment horizontal="left" vertical="top" wrapText="1"/>
    </xf>
    <xf numFmtId="0" fontId="4" fillId="163" borderId="1" xfId="0" applyFont="1" applyFill="1" applyBorder="1" applyAlignment="1">
      <alignment horizontal="left" vertical="top" wrapText="1"/>
    </xf>
    <xf numFmtId="0" fontId="4" fillId="164" borderId="1" xfId="0" applyFont="1" applyFill="1" applyBorder="1" applyAlignment="1">
      <alignment horizontal="left" vertical="top" wrapText="1"/>
    </xf>
    <xf numFmtId="0" fontId="4" fillId="165" borderId="1" xfId="0" applyFont="1" applyFill="1" applyBorder="1" applyAlignment="1">
      <alignment horizontal="left" vertical="top" wrapText="1"/>
    </xf>
    <xf numFmtId="0" fontId="4" fillId="166" borderId="1" xfId="0" applyFont="1" applyFill="1" applyBorder="1" applyAlignment="1">
      <alignment horizontal="left" vertical="top" wrapText="1"/>
    </xf>
    <xf numFmtId="0" fontId="4" fillId="167" borderId="1" xfId="0" applyFont="1" applyFill="1" applyBorder="1" applyAlignment="1">
      <alignment horizontal="left" vertical="top" wrapText="1"/>
    </xf>
    <xf numFmtId="0" fontId="4" fillId="168" borderId="1" xfId="0" applyFont="1" applyFill="1" applyBorder="1" applyAlignment="1">
      <alignment horizontal="left" vertical="top" wrapText="1"/>
    </xf>
    <xf numFmtId="0" fontId="4" fillId="169" borderId="1" xfId="0" applyFont="1" applyFill="1" applyBorder="1" applyAlignment="1">
      <alignment horizontal="left" vertical="top" wrapText="1"/>
    </xf>
    <xf numFmtId="0" fontId="4" fillId="170" borderId="1" xfId="0" applyFont="1" applyFill="1" applyBorder="1" applyAlignment="1">
      <alignment horizontal="left" vertical="top" wrapText="1"/>
    </xf>
    <xf numFmtId="0" fontId="4" fillId="171" borderId="1" xfId="0" applyFont="1" applyFill="1" applyBorder="1" applyAlignment="1">
      <alignment horizontal="left" vertical="top" wrapText="1"/>
    </xf>
    <xf numFmtId="0" fontId="4" fillId="172" borderId="1" xfId="0" applyFont="1" applyFill="1" applyBorder="1" applyAlignment="1">
      <alignment horizontal="left" vertical="top" wrapText="1"/>
    </xf>
    <xf numFmtId="0" fontId="4" fillId="173" borderId="1" xfId="0" applyFont="1" applyFill="1" applyBorder="1" applyAlignment="1">
      <alignment horizontal="left" vertical="top" wrapText="1"/>
    </xf>
    <xf numFmtId="0" fontId="4" fillId="174" borderId="1" xfId="0" applyFont="1" applyFill="1" applyBorder="1" applyAlignment="1">
      <alignment horizontal="left" vertical="top" wrapText="1"/>
    </xf>
    <xf numFmtId="0" fontId="4" fillId="175" borderId="1" xfId="0" applyFont="1" applyFill="1" applyBorder="1" applyAlignment="1">
      <alignment horizontal="left" vertical="top" wrapText="1"/>
    </xf>
    <xf numFmtId="0" fontId="4" fillId="176" borderId="1" xfId="0" applyFont="1" applyFill="1" applyBorder="1" applyAlignment="1">
      <alignment horizontal="left" vertical="top" wrapText="1"/>
    </xf>
    <xf numFmtId="0" fontId="4" fillId="177" borderId="1" xfId="0" applyFont="1" applyFill="1" applyBorder="1" applyAlignment="1">
      <alignment horizontal="left" vertical="top" wrapText="1"/>
    </xf>
    <xf numFmtId="0" fontId="4" fillId="178" borderId="1" xfId="0" applyFont="1" applyFill="1" applyBorder="1" applyAlignment="1">
      <alignment horizontal="left" vertical="top" wrapText="1"/>
    </xf>
    <xf numFmtId="0" fontId="4" fillId="179" borderId="1" xfId="0" applyFont="1" applyFill="1" applyBorder="1" applyAlignment="1">
      <alignment horizontal="left" vertical="top" wrapText="1"/>
    </xf>
    <xf numFmtId="0" fontId="4" fillId="180" borderId="1" xfId="0" applyFont="1" applyFill="1" applyBorder="1" applyAlignment="1">
      <alignment horizontal="left" vertical="top" wrapText="1"/>
    </xf>
    <xf numFmtId="0" fontId="4" fillId="181" borderId="1" xfId="0" applyFont="1" applyFill="1" applyBorder="1" applyAlignment="1">
      <alignment horizontal="left" vertical="top" wrapText="1"/>
    </xf>
    <xf numFmtId="0" fontId="4" fillId="182" borderId="1" xfId="0" applyFont="1" applyFill="1" applyBorder="1" applyAlignment="1">
      <alignment horizontal="left" vertical="top" wrapText="1"/>
    </xf>
    <xf numFmtId="0" fontId="4" fillId="183" borderId="1" xfId="0" applyFont="1" applyFill="1" applyBorder="1" applyAlignment="1">
      <alignment horizontal="left" vertical="top" wrapText="1"/>
    </xf>
    <xf numFmtId="0" fontId="4" fillId="184" borderId="1" xfId="0" applyFont="1" applyFill="1" applyBorder="1" applyAlignment="1">
      <alignment horizontal="left" vertical="top" wrapText="1"/>
    </xf>
    <xf numFmtId="0" fontId="4" fillId="185" borderId="1" xfId="0" applyFont="1" applyFill="1" applyBorder="1" applyAlignment="1">
      <alignment horizontal="left" vertical="top" wrapText="1"/>
    </xf>
    <xf numFmtId="0" fontId="4" fillId="186" borderId="1" xfId="0" applyFont="1" applyFill="1" applyBorder="1" applyAlignment="1">
      <alignment horizontal="left" vertical="top" wrapText="1"/>
    </xf>
    <xf numFmtId="0" fontId="4" fillId="187" borderId="1" xfId="0" applyFont="1" applyFill="1" applyBorder="1" applyAlignment="1">
      <alignment horizontal="left" vertical="top" wrapText="1"/>
    </xf>
    <xf numFmtId="0" fontId="4" fillId="188" borderId="1" xfId="0" applyFont="1" applyFill="1" applyBorder="1" applyAlignment="1">
      <alignment horizontal="left" vertical="top" wrapText="1"/>
    </xf>
    <xf numFmtId="0" fontId="4" fillId="189" borderId="1" xfId="0" applyFont="1" applyFill="1" applyBorder="1" applyAlignment="1">
      <alignment horizontal="left" vertical="top" wrapText="1"/>
    </xf>
    <xf numFmtId="0" fontId="4" fillId="190" borderId="1" xfId="0" applyFont="1" applyFill="1" applyBorder="1" applyAlignment="1">
      <alignment horizontal="left" vertical="top" wrapText="1"/>
    </xf>
    <xf numFmtId="0" fontId="4" fillId="191" borderId="1" xfId="0" applyFont="1" applyFill="1" applyBorder="1" applyAlignment="1">
      <alignment horizontal="left" vertical="top" wrapText="1"/>
    </xf>
    <xf numFmtId="0" fontId="4" fillId="192" borderId="1" xfId="0" applyFont="1" applyFill="1" applyBorder="1" applyAlignment="1">
      <alignment horizontal="left" vertical="top" wrapText="1"/>
    </xf>
    <xf numFmtId="0" fontId="4" fillId="193" borderId="1" xfId="0" applyFont="1" applyFill="1" applyBorder="1" applyAlignment="1">
      <alignment horizontal="left" vertical="top" wrapText="1"/>
    </xf>
    <xf numFmtId="0" fontId="4" fillId="194" borderId="1" xfId="0" applyFont="1" applyFill="1" applyBorder="1" applyAlignment="1">
      <alignment horizontal="left" vertical="top" wrapText="1"/>
    </xf>
    <xf numFmtId="0" fontId="4" fillId="195" borderId="1" xfId="0" applyFont="1" applyFill="1" applyBorder="1" applyAlignment="1">
      <alignment horizontal="left" vertical="top" wrapText="1"/>
    </xf>
    <xf numFmtId="0" fontId="4" fillId="196" borderId="1" xfId="0" applyFont="1" applyFill="1" applyBorder="1" applyAlignment="1">
      <alignment horizontal="left" vertical="top" wrapText="1"/>
    </xf>
    <xf numFmtId="0" fontId="4" fillId="197" borderId="1" xfId="0" applyFont="1" applyFill="1" applyBorder="1" applyAlignment="1">
      <alignment horizontal="left" vertical="top" wrapText="1"/>
    </xf>
    <xf numFmtId="0" fontId="4" fillId="198" borderId="1" xfId="0" applyFont="1" applyFill="1" applyBorder="1" applyAlignment="1">
      <alignment horizontal="left" vertical="top" wrapText="1"/>
    </xf>
    <xf numFmtId="0" fontId="4" fillId="199" borderId="1" xfId="0" applyFont="1" applyFill="1" applyBorder="1" applyAlignment="1">
      <alignment horizontal="left" vertical="top" wrapText="1"/>
    </xf>
    <xf numFmtId="0" fontId="4" fillId="200" borderId="1" xfId="0" applyFont="1" applyFill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4" fillId="201" borderId="1" xfId="0" applyFont="1" applyFill="1" applyBorder="1" applyAlignment="1">
      <alignment horizontal="left" vertical="top" wrapText="1"/>
    </xf>
    <xf numFmtId="0" fontId="4" fillId="202" borderId="1" xfId="0" applyFont="1" applyFill="1" applyBorder="1" applyAlignment="1">
      <alignment horizontal="left" vertical="top" wrapText="1"/>
    </xf>
    <xf numFmtId="0" fontId="4" fillId="203" borderId="1" xfId="0" applyFont="1" applyFill="1" applyBorder="1" applyAlignment="1">
      <alignment horizontal="left" vertical="top" wrapText="1"/>
    </xf>
    <xf numFmtId="0" fontId="4" fillId="204" borderId="1" xfId="0" applyFont="1" applyFill="1" applyBorder="1" applyAlignment="1">
      <alignment horizontal="left" vertical="top" wrapText="1"/>
    </xf>
    <xf numFmtId="0" fontId="4" fillId="205" borderId="1" xfId="0" applyFont="1" applyFill="1" applyBorder="1" applyAlignment="1">
      <alignment horizontal="left" vertical="top" wrapText="1"/>
    </xf>
    <xf numFmtId="0" fontId="4" fillId="206" borderId="1" xfId="0" applyFont="1" applyFill="1" applyBorder="1" applyAlignment="1">
      <alignment horizontal="left" vertical="top" wrapText="1"/>
    </xf>
    <xf numFmtId="0" fontId="4" fillId="207" borderId="1" xfId="0" applyFont="1" applyFill="1" applyBorder="1" applyAlignment="1">
      <alignment horizontal="left" vertical="top" wrapText="1"/>
    </xf>
    <xf numFmtId="0" fontId="4" fillId="208" borderId="1" xfId="0" applyFont="1" applyFill="1" applyBorder="1" applyAlignment="1">
      <alignment horizontal="left" vertical="top" wrapText="1"/>
    </xf>
    <xf numFmtId="0" fontId="4" fillId="209" borderId="1" xfId="0" applyFont="1" applyFill="1" applyBorder="1" applyAlignment="1">
      <alignment horizontal="left" vertical="top" wrapText="1"/>
    </xf>
    <xf numFmtId="0" fontId="4" fillId="210" borderId="1" xfId="0" applyFont="1" applyFill="1" applyBorder="1" applyAlignment="1">
      <alignment horizontal="left" vertical="top" wrapText="1"/>
    </xf>
    <xf numFmtId="0" fontId="4" fillId="211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" fillId="212" borderId="1" xfId="0" applyFont="1" applyFill="1" applyBorder="1" applyAlignment="1">
      <alignment horizontal="left" vertical="top" wrapText="1"/>
    </xf>
    <xf numFmtId="0" fontId="4" fillId="213" borderId="1" xfId="0" applyFont="1" applyFill="1" applyBorder="1" applyAlignment="1">
      <alignment horizontal="left" vertical="top" wrapText="1"/>
    </xf>
    <xf numFmtId="0" fontId="4" fillId="214" borderId="1" xfId="0" applyFont="1" applyFill="1" applyBorder="1" applyAlignment="1">
      <alignment horizontal="left" vertical="top" wrapText="1"/>
    </xf>
    <xf numFmtId="0" fontId="4" fillId="215" borderId="1" xfId="0" applyFont="1" applyFill="1" applyBorder="1" applyAlignment="1">
      <alignment horizontal="left" vertical="top" wrapText="1"/>
    </xf>
    <xf numFmtId="0" fontId="4" fillId="216" borderId="1" xfId="0" applyFont="1" applyFill="1" applyBorder="1" applyAlignment="1">
      <alignment horizontal="left" vertical="top" wrapText="1"/>
    </xf>
    <xf numFmtId="0" fontId="4" fillId="217" borderId="1" xfId="0" applyFont="1" applyFill="1" applyBorder="1" applyAlignment="1">
      <alignment horizontal="left" vertical="top" wrapText="1"/>
    </xf>
    <xf numFmtId="0" fontId="9" fillId="218" borderId="2" xfId="0" applyFont="1" applyFill="1" applyBorder="1" applyAlignment="1">
      <alignment vertical="center"/>
    </xf>
    <xf numFmtId="0" fontId="9" fillId="218" borderId="0" xfId="0" applyFont="1" applyFill="1" applyBorder="1" applyAlignment="1">
      <alignment vertical="center"/>
    </xf>
    <xf numFmtId="0" fontId="9" fillId="218" borderId="3" xfId="0" applyFont="1" applyFill="1" applyBorder="1" applyAlignment="1">
      <alignment vertical="center"/>
    </xf>
    <xf numFmtId="0" fontId="10" fillId="218" borderId="2" xfId="0" applyFont="1" applyFill="1" applyBorder="1" applyAlignment="1"/>
    <xf numFmtId="0" fontId="11" fillId="218" borderId="0" xfId="0" applyFont="1" applyFill="1" applyBorder="1" applyAlignment="1"/>
    <xf numFmtId="0" fontId="12" fillId="218" borderId="2" xfId="0" applyFont="1" applyFill="1" applyBorder="1" applyAlignment="1">
      <alignment vertical="center"/>
    </xf>
    <xf numFmtId="0" fontId="10" fillId="218" borderId="2" xfId="0" applyFont="1" applyFill="1" applyBorder="1" applyAlignment="1">
      <alignment vertical="center"/>
    </xf>
    <xf numFmtId="0" fontId="10" fillId="218" borderId="0" xfId="0" applyFont="1" applyFill="1" applyBorder="1" applyAlignment="1">
      <alignment vertical="center"/>
    </xf>
    <xf numFmtId="0" fontId="13" fillId="218" borderId="0" xfId="0" applyFont="1" applyFill="1" applyBorder="1" applyAlignment="1">
      <alignment vertical="center"/>
    </xf>
    <xf numFmtId="0" fontId="9" fillId="218" borderId="4" xfId="0" applyFont="1" applyFill="1" applyBorder="1" applyAlignment="1">
      <alignment vertical="center"/>
    </xf>
    <xf numFmtId="0" fontId="9" fillId="218" borderId="5" xfId="0" applyFont="1" applyFill="1" applyBorder="1" applyAlignment="1">
      <alignment vertical="center"/>
    </xf>
    <xf numFmtId="0" fontId="9" fillId="218" borderId="6" xfId="0" applyFont="1" applyFill="1" applyBorder="1" applyAlignment="1">
      <alignment vertical="center"/>
    </xf>
    <xf numFmtId="0" fontId="0" fillId="0" borderId="7" xfId="0" applyBorder="1" applyAlignment="1">
      <alignment vertical="center"/>
    </xf>
    <xf numFmtId="0" fontId="14" fillId="219" borderId="0" xfId="0" applyFont="1" applyFill="1">
      <alignment vertical="center"/>
    </xf>
    <xf numFmtId="0" fontId="0" fillId="219" borderId="0" xfId="0" applyFill="1">
      <alignment vertical="center"/>
    </xf>
    <xf numFmtId="0" fontId="15" fillId="0" borderId="0" xfId="0" applyFont="1">
      <alignment vertical="center"/>
    </xf>
    <xf numFmtId="0" fontId="12" fillId="0" borderId="0" xfId="0" applyFont="1">
      <alignment vertical="center"/>
    </xf>
    <xf numFmtId="0" fontId="0" fillId="220" borderId="0" xfId="0" applyFill="1">
      <alignment vertical="center"/>
    </xf>
    <xf numFmtId="0" fontId="0" fillId="220" borderId="0" xfId="0" applyFill="1" applyAlignment="1">
      <alignment horizontal="left" vertical="center" indent="1"/>
    </xf>
    <xf numFmtId="0" fontId="16" fillId="220" borderId="0" xfId="0" applyFont="1" applyFill="1">
      <alignment vertical="center"/>
    </xf>
    <xf numFmtId="0" fontId="0" fillId="218" borderId="0" xfId="0" applyFill="1">
      <alignment vertical="center"/>
    </xf>
    <xf numFmtId="0" fontId="17" fillId="218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Geeza Pro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Geeza Pro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workbookViewId="0">
      <selection activeCell="A1" sqref="A1"/>
    </sheetView>
  </sheetViews>
  <sheetFormatPr defaultColWidth="9.23076923076923" defaultRowHeight="16.8"/>
  <cols>
    <col min="2" max="2" width="14.4230769230769"/>
  </cols>
  <sheetData>
    <row r="1" ht="34.4" spans="1:17">
      <c r="A1" s="241" t="s">
        <v>0</v>
      </c>
      <c r="B1" s="242"/>
      <c r="C1" s="242"/>
      <c r="D1" s="242"/>
      <c r="E1" s="242"/>
      <c r="F1" s="242"/>
      <c r="G1" s="242"/>
      <c r="H1" s="242"/>
      <c r="I1" s="242"/>
      <c r="J1" s="242"/>
    </row>
    <row r="2" spans="1:17">
      <c r="A2" s="243" t="s">
        <v>1</v>
      </c>
    </row>
    <row r="4" ht="20.4" spans="1:17">
      <c r="A4" s="244" t="s">
        <v>2</v>
      </c>
    </row>
    <row r="5" ht="17" spans="1:17">
      <c r="B5" s="245" t="s">
        <v>3</v>
      </c>
      <c r="C5" s="245"/>
      <c r="D5" s="245"/>
      <c r="E5" s="245"/>
      <c r="F5" s="245"/>
      <c r="G5" s="245"/>
      <c r="H5" s="245"/>
      <c r="I5" s="245"/>
      <c r="J5" s="245"/>
      <c r="K5" s="245"/>
      <c r="L5" s="245"/>
    </row>
    <row r="6" spans="1:17">
      <c r="B6" s="246" t="s">
        <v>4</v>
      </c>
      <c r="C6" s="245"/>
      <c r="D6" s="245"/>
      <c r="E6" s="245"/>
      <c r="F6" s="245"/>
      <c r="G6" s="245"/>
      <c r="H6" s="245"/>
      <c r="I6" s="245"/>
      <c r="J6" s="245"/>
      <c r="K6" s="245"/>
      <c r="L6" s="245"/>
    </row>
    <row r="7" spans="1:17">
      <c r="B7" s="246" t="s">
        <v>5</v>
      </c>
      <c r="C7" s="245"/>
      <c r="D7" s="245"/>
      <c r="E7" s="245"/>
      <c r="F7" s="245"/>
      <c r="G7" s="245"/>
      <c r="H7" s="245"/>
      <c r="I7" s="245"/>
      <c r="J7" s="245"/>
      <c r="K7" s="245"/>
      <c r="L7" s="245"/>
    </row>
    <row r="8" spans="1:17">
      <c r="B8" s="246" t="s">
        <v>6</v>
      </c>
      <c r="C8" s="245"/>
      <c r="D8" s="245"/>
      <c r="E8" s="245"/>
      <c r="F8" s="245"/>
      <c r="G8" s="245"/>
      <c r="H8" s="245"/>
      <c r="I8" s="245"/>
      <c r="J8" s="245"/>
      <c r="K8" s="245"/>
      <c r="L8" s="245"/>
    </row>
    <row r="9" ht="17" spans="1:17">
      <c r="B9" s="246" t="s">
        <v>7</v>
      </c>
      <c r="C9" s="245"/>
      <c r="D9" s="245"/>
      <c r="E9" s="245"/>
      <c r="F9" s="245"/>
      <c r="G9" s="245"/>
      <c r="H9" s="245"/>
      <c r="I9" s="245"/>
      <c r="J9" s="245"/>
      <c r="K9" s="245"/>
      <c r="L9" s="245"/>
    </row>
    <row r="10" spans="1:17">
      <c r="B10" s="247" t="s">
        <v>8</v>
      </c>
      <c r="C10" s="245"/>
      <c r="D10" s="245"/>
      <c r="E10" s="245"/>
      <c r="F10" s="245"/>
      <c r="G10" s="245"/>
      <c r="H10" s="245"/>
      <c r="I10" s="245"/>
      <c r="J10" s="245"/>
      <c r="K10" s="245"/>
      <c r="L10" s="245"/>
    </row>
    <row r="12" ht="20.4" spans="1:17">
      <c r="A12" s="244" t="s">
        <v>9</v>
      </c>
    </row>
    <row r="14" spans="1:17">
      <c r="B14" s="248" t="s">
        <v>10</v>
      </c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  <c r="O14" s="248"/>
      <c r="P14" s="248"/>
      <c r="Q14" s="248"/>
    </row>
    <row r="15" spans="1:17">
      <c r="B15" s="248" t="s">
        <v>11</v>
      </c>
      <c r="C15" s="248"/>
      <c r="D15" s="248"/>
      <c r="E15" s="248"/>
      <c r="F15" s="248"/>
      <c r="G15" s="248"/>
      <c r="H15" s="248"/>
      <c r="I15" s="248"/>
      <c r="J15" s="248"/>
      <c r="K15" s="248"/>
      <c r="L15" s="248"/>
      <c r="M15" s="248"/>
      <c r="N15" s="248"/>
      <c r="O15" s="248"/>
      <c r="P15" s="248"/>
      <c r="Q15" s="248"/>
    </row>
    <row r="16" ht="17" spans="1:17">
      <c r="B16" s="249" t="s">
        <v>12</v>
      </c>
      <c r="C16" s="248"/>
      <c r="D16" s="248"/>
      <c r="E16" s="248"/>
      <c r="F16" s="248"/>
      <c r="G16" s="248"/>
      <c r="H16" s="248"/>
      <c r="I16" s="248"/>
      <c r="J16" s="248"/>
      <c r="K16" s="248"/>
      <c r="L16" s="248"/>
      <c r="M16" s="248"/>
      <c r="N16" s="248"/>
      <c r="O16" s="248"/>
      <c r="P16" s="248"/>
      <c r="Q16" s="248"/>
    </row>
    <row r="17" ht="41" spans="2:11">
      <c r="B17" t="str">
        <f>_xlfn.DISPIMG("ID_A92BC0E6ACBB4B34992DE74B90218198",1)</f>
        <v>=DISPIMG("ID_A92BC0E6ACBB4B34992DE74B90218198",1)</v>
      </c>
    </row>
    <row r="21" spans="2:11">
      <c r="B21" s="248" t="s">
        <v>13</v>
      </c>
      <c r="C21" s="248"/>
      <c r="D21" s="248"/>
      <c r="E21" s="248"/>
      <c r="F21" s="248"/>
      <c r="G21" s="248"/>
      <c r="H21" s="248"/>
      <c r="I21" s="248"/>
      <c r="J21" s="248"/>
      <c r="K21" s="248"/>
    </row>
    <row r="22" spans="2:11">
      <c r="B22" s="248" t="s">
        <v>14</v>
      </c>
      <c r="C22" s="248"/>
      <c r="D22" s="248"/>
      <c r="E22" s="248"/>
      <c r="F22" s="248"/>
      <c r="G22" s="248"/>
      <c r="H22" s="248"/>
      <c r="I22" s="248"/>
      <c r="J22" s="248"/>
      <c r="K22" s="248"/>
    </row>
    <row r="23" ht="17" spans="2:11">
      <c r="B23" s="249" t="s">
        <v>15</v>
      </c>
      <c r="C23" s="248"/>
      <c r="D23" s="248"/>
      <c r="E23" s="248"/>
      <c r="F23" s="248"/>
      <c r="G23" s="248"/>
      <c r="H23" s="248"/>
      <c r="I23" s="248"/>
      <c r="J23" s="248"/>
      <c r="K23" s="24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4" sqref="C4"/>
    </sheetView>
  </sheetViews>
  <sheetFormatPr defaultColWidth="9.23076923076923" defaultRowHeight="16.8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1"/>
  <sheetViews>
    <sheetView tabSelected="1" zoomScale="80" zoomScaleNormal="80" workbookViewId="0">
      <selection activeCell="N38" sqref="N38"/>
    </sheetView>
  </sheetViews>
  <sheetFormatPr defaultColWidth="15.2307692307692" defaultRowHeight="16.8"/>
  <cols>
    <col min="1" max="1" width="3.84615384615385" style="1" customWidth="1"/>
    <col min="2" max="2" width="15.2307692307692" style="1"/>
    <col min="3" max="3" width="15.2307692307692" style="1" customWidth="1"/>
    <col min="4" max="4" width="3.65384615384615" style="1" customWidth="1"/>
    <col min="5" max="6" width="15.2307692307692" style="1"/>
    <col min="7" max="7" width="3.84615384615385" style="1" customWidth="1"/>
    <col min="8" max="9" width="15.2307692307692" style="1"/>
    <col min="10" max="10" width="4.03846153846154" style="1" customWidth="1"/>
    <col min="11" max="12" width="15.2307692307692" style="1"/>
    <col min="13" max="13" width="3.84615384615385" style="1" customWidth="1"/>
    <col min="14" max="15" width="15.2307692307692" style="1"/>
    <col min="16" max="16" width="3.65384615384615" style="1" customWidth="1"/>
    <col min="17" max="18" width="15.2307692307692" style="1"/>
    <col min="19" max="19" width="4.03846153846154" style="1" customWidth="1"/>
    <col min="20" max="21" width="15.2307692307692" style="1"/>
    <col min="22" max="22" width="4.03846153846154" style="1" customWidth="1"/>
    <col min="23" max="24" width="15.2307692307692" style="1"/>
    <col min="25" max="25" width="4.23076923076923" style="1" customWidth="1"/>
    <col min="26" max="27" width="15.2307692307692" style="1" customWidth="1"/>
    <col min="28" max="28" width="22.8365384615385" style="1" customWidth="1"/>
    <col min="29" max="16384" width="15.2307692307692" style="1"/>
  </cols>
  <sheetData>
    <row r="1" ht="79" customHeight="1" spans="1:27">
      <c r="A1" s="2" t="s">
        <v>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="1" customFormat="1" spans="1:27">
      <c r="A2" s="4" t="s">
        <v>17</v>
      </c>
      <c r="B2" s="4"/>
      <c r="C2" s="4"/>
      <c r="D2" s="4" t="s">
        <v>18</v>
      </c>
      <c r="E2" s="4"/>
      <c r="F2" s="4"/>
      <c r="G2" s="4" t="s">
        <v>19</v>
      </c>
      <c r="H2" s="4"/>
      <c r="I2" s="4"/>
      <c r="J2" s="4" t="s">
        <v>20</v>
      </c>
      <c r="K2" s="4"/>
      <c r="L2" s="4"/>
      <c r="M2" s="4" t="s">
        <v>21</v>
      </c>
      <c r="N2" s="4"/>
      <c r="O2" s="4"/>
      <c r="P2" s="4" t="s">
        <v>22</v>
      </c>
      <c r="Q2" s="4"/>
      <c r="R2" s="4"/>
      <c r="S2" s="4" t="s">
        <v>23</v>
      </c>
      <c r="T2" s="4"/>
      <c r="U2" s="4"/>
      <c r="V2" s="4" t="s">
        <v>24</v>
      </c>
      <c r="W2" s="4"/>
      <c r="X2" s="4"/>
      <c r="Y2" s="4" t="s">
        <v>25</v>
      </c>
      <c r="Z2" s="4"/>
      <c r="AA2" s="4"/>
    </row>
    <row r="3" s="1" customFormat="1" spans="1:27">
      <c r="A3" s="5" t="s">
        <v>26</v>
      </c>
      <c r="B3" s="6"/>
      <c r="C3" s="7">
        <v>1</v>
      </c>
      <c r="D3" s="8" t="s">
        <v>27</v>
      </c>
      <c r="E3" s="9"/>
      <c r="F3" s="10">
        <v>1</v>
      </c>
      <c r="G3" s="5" t="s">
        <v>28</v>
      </c>
      <c r="H3" s="11"/>
      <c r="I3" s="10">
        <v>1</v>
      </c>
      <c r="J3" s="5" t="s">
        <v>29</v>
      </c>
      <c r="K3" s="12"/>
      <c r="L3" s="10">
        <v>1</v>
      </c>
      <c r="M3" s="5" t="s">
        <v>30</v>
      </c>
      <c r="N3" s="13"/>
      <c r="O3" s="10">
        <v>1</v>
      </c>
      <c r="P3" s="5" t="s">
        <v>31</v>
      </c>
      <c r="Q3" s="14"/>
      <c r="R3" s="10">
        <v>1</v>
      </c>
      <c r="S3" s="5" t="s">
        <v>32</v>
      </c>
      <c r="T3" s="15"/>
      <c r="U3" s="10">
        <v>1</v>
      </c>
      <c r="V3" s="5" t="s">
        <v>33</v>
      </c>
      <c r="W3" s="10"/>
      <c r="X3" s="10">
        <v>2</v>
      </c>
      <c r="Y3" s="5" t="s">
        <v>34</v>
      </c>
      <c r="Z3" s="16"/>
      <c r="AA3" s="10">
        <v>0.5</v>
      </c>
    </row>
    <row r="4" s="1" customFormat="1" spans="1:27">
      <c r="A4" s="5" t="s">
        <v>35</v>
      </c>
      <c r="B4" s="17"/>
      <c r="C4" s="7">
        <v>1</v>
      </c>
      <c r="D4" s="5" t="s">
        <v>36</v>
      </c>
      <c r="E4" s="18"/>
      <c r="F4" s="10">
        <v>1</v>
      </c>
      <c r="G4" s="5" t="s">
        <v>37</v>
      </c>
      <c r="H4" s="19"/>
      <c r="I4" s="10">
        <v>1</v>
      </c>
      <c r="J4" s="5" t="s">
        <v>38</v>
      </c>
      <c r="K4" s="20"/>
      <c r="L4" s="10">
        <v>1</v>
      </c>
      <c r="M4" s="5" t="s">
        <v>39</v>
      </c>
      <c r="N4" s="21"/>
      <c r="O4" s="10">
        <v>1</v>
      </c>
      <c r="P4" s="5" t="s">
        <v>40</v>
      </c>
      <c r="Q4" s="22"/>
      <c r="R4" s="10">
        <v>1</v>
      </c>
      <c r="S4" s="5" t="s">
        <v>41</v>
      </c>
      <c r="T4" s="23"/>
      <c r="U4" s="10">
        <v>1</v>
      </c>
      <c r="V4" s="5" t="s">
        <v>42</v>
      </c>
      <c r="W4" s="10"/>
      <c r="X4" s="10">
        <v>2</v>
      </c>
      <c r="Y4" s="5" t="s">
        <v>43</v>
      </c>
      <c r="Z4" s="24"/>
      <c r="AA4" s="10">
        <v>0.5</v>
      </c>
    </row>
    <row r="5" s="1" customFormat="1" spans="1:27">
      <c r="A5" s="5" t="s">
        <v>44</v>
      </c>
      <c r="B5" s="25"/>
      <c r="C5" s="7">
        <v>1</v>
      </c>
      <c r="D5" s="26" t="s">
        <v>45</v>
      </c>
      <c r="E5" s="27"/>
      <c r="F5" s="10">
        <v>1</v>
      </c>
      <c r="G5" s="5" t="s">
        <v>46</v>
      </c>
      <c r="H5" s="28"/>
      <c r="I5" s="10">
        <v>1</v>
      </c>
      <c r="J5" s="5" t="s">
        <v>47</v>
      </c>
      <c r="K5" s="29"/>
      <c r="L5" s="10">
        <v>1</v>
      </c>
      <c r="M5" s="5" t="s">
        <v>48</v>
      </c>
      <c r="N5" s="30"/>
      <c r="O5" s="10">
        <v>1</v>
      </c>
      <c r="P5" s="5" t="s">
        <v>49</v>
      </c>
      <c r="Q5" s="31"/>
      <c r="R5" s="10">
        <v>1</v>
      </c>
      <c r="S5" s="5" t="s">
        <v>50</v>
      </c>
      <c r="T5" s="32"/>
      <c r="U5" s="10">
        <v>1</v>
      </c>
      <c r="V5" s="5" t="s">
        <v>51</v>
      </c>
      <c r="W5" s="33"/>
      <c r="X5" s="10">
        <v>1</v>
      </c>
      <c r="Y5" s="5" t="s">
        <v>52</v>
      </c>
      <c r="Z5" s="34"/>
      <c r="AA5" s="10">
        <v>0.5</v>
      </c>
    </row>
    <row r="6" s="1" customFormat="1" spans="1:27">
      <c r="A6" s="5" t="s">
        <v>53</v>
      </c>
      <c r="B6" s="35"/>
      <c r="C6" s="7">
        <v>1</v>
      </c>
      <c r="D6" s="5" t="s">
        <v>54</v>
      </c>
      <c r="E6" s="36"/>
      <c r="F6" s="10">
        <v>1</v>
      </c>
      <c r="G6" s="5" t="s">
        <v>55</v>
      </c>
      <c r="H6" s="37"/>
      <c r="I6" s="10">
        <v>1</v>
      </c>
      <c r="J6" s="5" t="s">
        <v>56</v>
      </c>
      <c r="K6" s="38"/>
      <c r="L6" s="10">
        <v>1</v>
      </c>
      <c r="M6" s="5" t="s">
        <v>57</v>
      </c>
      <c r="N6" s="39"/>
      <c r="O6" s="10">
        <v>1</v>
      </c>
      <c r="P6" s="5" t="s">
        <v>58</v>
      </c>
      <c r="Q6" s="40"/>
      <c r="R6" s="10">
        <v>1</v>
      </c>
      <c r="S6" s="5" t="s">
        <v>59</v>
      </c>
      <c r="T6" s="41"/>
      <c r="U6" s="10">
        <v>1</v>
      </c>
      <c r="V6" s="5" t="s">
        <v>60</v>
      </c>
      <c r="W6" s="42"/>
      <c r="X6" s="10">
        <v>1</v>
      </c>
      <c r="Y6" s="5" t="s">
        <v>61</v>
      </c>
      <c r="Z6" s="43"/>
      <c r="AA6" s="10">
        <v>0.5</v>
      </c>
    </row>
    <row r="7" s="1" customFormat="1" spans="1:27">
      <c r="A7" s="5" t="s">
        <v>62</v>
      </c>
      <c r="B7" s="44"/>
      <c r="C7" s="7">
        <v>1</v>
      </c>
      <c r="D7" s="5" t="s">
        <v>63</v>
      </c>
      <c r="E7" s="45"/>
      <c r="F7" s="10">
        <v>1</v>
      </c>
      <c r="G7" s="5" t="s">
        <v>64</v>
      </c>
      <c r="H7" s="46"/>
      <c r="I7" s="10">
        <v>1</v>
      </c>
      <c r="J7" s="5" t="s">
        <v>65</v>
      </c>
      <c r="K7" s="47"/>
      <c r="L7" s="10">
        <v>1</v>
      </c>
      <c r="M7" s="5" t="s">
        <v>66</v>
      </c>
      <c r="N7" s="48"/>
      <c r="O7" s="10">
        <v>1</v>
      </c>
      <c r="P7" s="5" t="s">
        <v>67</v>
      </c>
      <c r="Q7" s="49"/>
      <c r="R7" s="10">
        <v>1</v>
      </c>
      <c r="S7" s="5" t="s">
        <v>68</v>
      </c>
      <c r="T7" s="50"/>
      <c r="U7" s="10">
        <v>1</v>
      </c>
      <c r="V7" s="5" t="s">
        <v>69</v>
      </c>
      <c r="W7" s="51"/>
      <c r="X7" s="10">
        <v>1</v>
      </c>
      <c r="Y7" s="5" t="s">
        <v>70</v>
      </c>
      <c r="Z7" s="52"/>
      <c r="AA7" s="10">
        <v>0.5</v>
      </c>
    </row>
    <row r="8" s="1" customFormat="1" spans="1:27">
      <c r="A8" s="5" t="s">
        <v>71</v>
      </c>
      <c r="B8" s="53"/>
      <c r="C8" s="7">
        <v>1</v>
      </c>
      <c r="D8" s="5" t="s">
        <v>72</v>
      </c>
      <c r="E8" s="54"/>
      <c r="F8" s="10">
        <v>1</v>
      </c>
      <c r="G8" s="5" t="s">
        <v>73</v>
      </c>
      <c r="H8" s="55"/>
      <c r="I8" s="10">
        <v>1</v>
      </c>
      <c r="J8" s="5" t="s">
        <v>74</v>
      </c>
      <c r="K8" s="56"/>
      <c r="L8" s="10">
        <v>1</v>
      </c>
      <c r="M8" s="5" t="s">
        <v>75</v>
      </c>
      <c r="N8" s="57"/>
      <c r="O8" s="10">
        <v>1</v>
      </c>
      <c r="P8" s="5" t="s">
        <v>76</v>
      </c>
      <c r="Q8" s="58"/>
      <c r="R8" s="10">
        <v>1</v>
      </c>
      <c r="S8" s="5" t="s">
        <v>77</v>
      </c>
      <c r="T8" s="59"/>
      <c r="U8" s="10">
        <v>1</v>
      </c>
      <c r="V8" s="5" t="s">
        <v>78</v>
      </c>
      <c r="W8" s="60"/>
      <c r="X8" s="10">
        <v>1</v>
      </c>
      <c r="Y8" s="5" t="s">
        <v>79</v>
      </c>
      <c r="Z8" s="61"/>
      <c r="AA8" s="10">
        <v>0.5</v>
      </c>
    </row>
    <row r="9" s="1" customFormat="1" spans="1:27">
      <c r="A9" s="5" t="s">
        <v>80</v>
      </c>
      <c r="B9" s="62"/>
      <c r="C9" s="7">
        <v>1</v>
      </c>
      <c r="D9" s="5" t="s">
        <v>81</v>
      </c>
      <c r="E9" s="63"/>
      <c r="F9" s="10">
        <v>1</v>
      </c>
      <c r="G9" s="5" t="s">
        <v>82</v>
      </c>
      <c r="H9" s="64"/>
      <c r="I9" s="10">
        <v>1</v>
      </c>
      <c r="J9" s="5" t="s">
        <v>83</v>
      </c>
      <c r="K9" s="65"/>
      <c r="L9" s="10">
        <v>1</v>
      </c>
      <c r="M9" s="5" t="s">
        <v>84</v>
      </c>
      <c r="N9" s="66"/>
      <c r="O9" s="10">
        <v>1</v>
      </c>
      <c r="P9" s="5" t="s">
        <v>85</v>
      </c>
      <c r="Q9" s="67"/>
      <c r="R9" s="10">
        <v>1</v>
      </c>
      <c r="S9" s="5" t="s">
        <v>86</v>
      </c>
      <c r="T9" s="68"/>
      <c r="U9" s="10">
        <v>1</v>
      </c>
      <c r="V9" s="5" t="s">
        <v>87</v>
      </c>
      <c r="W9" s="69"/>
      <c r="X9" s="10">
        <v>2</v>
      </c>
      <c r="Y9" s="5" t="s">
        <v>88</v>
      </c>
      <c r="Z9" s="70"/>
      <c r="AA9" s="10">
        <v>0.5</v>
      </c>
    </row>
    <row r="10" s="1" customFormat="1" spans="1:27">
      <c r="A10" s="5" t="s">
        <v>89</v>
      </c>
      <c r="B10" s="71"/>
      <c r="C10" s="7">
        <v>1</v>
      </c>
      <c r="D10" s="5" t="s">
        <v>90</v>
      </c>
      <c r="E10" s="72"/>
      <c r="F10" s="10">
        <v>1</v>
      </c>
      <c r="G10" s="5" t="s">
        <v>91</v>
      </c>
      <c r="H10" s="73"/>
      <c r="I10" s="10">
        <v>1</v>
      </c>
      <c r="J10" s="5" t="s">
        <v>92</v>
      </c>
      <c r="K10" s="74"/>
      <c r="L10" s="10">
        <v>1</v>
      </c>
      <c r="M10" s="5" t="s">
        <v>93</v>
      </c>
      <c r="N10" s="75"/>
      <c r="O10" s="10">
        <v>1</v>
      </c>
      <c r="P10" s="5" t="s">
        <v>94</v>
      </c>
      <c r="Q10" s="76"/>
      <c r="R10" s="10">
        <v>1</v>
      </c>
      <c r="S10" s="5" t="s">
        <v>95</v>
      </c>
      <c r="T10" s="77"/>
      <c r="U10" s="10">
        <v>1</v>
      </c>
      <c r="V10" s="5" t="s">
        <v>96</v>
      </c>
      <c r="W10" s="78"/>
      <c r="X10" s="10">
        <v>0.5</v>
      </c>
      <c r="Y10" s="5" t="s">
        <v>97</v>
      </c>
      <c r="Z10" s="79"/>
      <c r="AA10" s="10">
        <v>0.5</v>
      </c>
    </row>
    <row r="11" s="1" customFormat="1" spans="1:27">
      <c r="A11" s="5" t="s">
        <v>98</v>
      </c>
      <c r="B11" s="80"/>
      <c r="C11" s="7">
        <v>1</v>
      </c>
      <c r="D11" s="5" t="s">
        <v>99</v>
      </c>
      <c r="E11" s="81"/>
      <c r="F11" s="10">
        <v>1</v>
      </c>
      <c r="G11" s="5" t="s">
        <v>100</v>
      </c>
      <c r="H11" s="82"/>
      <c r="I11" s="10">
        <v>1</v>
      </c>
      <c r="J11" s="5" t="s">
        <v>101</v>
      </c>
      <c r="K11" s="83"/>
      <c r="L11" s="10">
        <v>1</v>
      </c>
      <c r="M11" s="5" t="s">
        <v>102</v>
      </c>
      <c r="N11" s="84"/>
      <c r="O11" s="10">
        <v>1</v>
      </c>
      <c r="P11" s="5" t="s">
        <v>103</v>
      </c>
      <c r="Q11" s="85"/>
      <c r="R11" s="10">
        <v>1</v>
      </c>
      <c r="S11" s="5" t="s">
        <v>104</v>
      </c>
      <c r="T11" s="86"/>
      <c r="U11" s="10">
        <v>1</v>
      </c>
      <c r="V11" s="5" t="s">
        <v>105</v>
      </c>
      <c r="W11" s="87"/>
      <c r="X11" s="10">
        <v>0.5</v>
      </c>
      <c r="Y11" s="5" t="s">
        <v>106</v>
      </c>
      <c r="Z11" s="88"/>
      <c r="AA11" s="10">
        <v>0.5</v>
      </c>
    </row>
    <row r="12" s="1" customFormat="1" spans="1:27">
      <c r="A12" s="5" t="s">
        <v>107</v>
      </c>
      <c r="B12" s="89"/>
      <c r="C12" s="7">
        <v>1</v>
      </c>
      <c r="D12" s="5" t="s">
        <v>108</v>
      </c>
      <c r="E12" s="90"/>
      <c r="F12" s="10">
        <v>1</v>
      </c>
      <c r="G12" s="5" t="s">
        <v>109</v>
      </c>
      <c r="H12" s="91"/>
      <c r="I12" s="10">
        <v>1</v>
      </c>
      <c r="J12" s="5" t="s">
        <v>110</v>
      </c>
      <c r="K12" s="92"/>
      <c r="L12" s="10">
        <v>1</v>
      </c>
      <c r="M12" s="5" t="s">
        <v>111</v>
      </c>
      <c r="N12" s="93"/>
      <c r="O12" s="10">
        <v>1</v>
      </c>
      <c r="P12" s="5" t="s">
        <v>112</v>
      </c>
      <c r="Q12" s="94"/>
      <c r="R12" s="10">
        <v>1</v>
      </c>
      <c r="S12" s="5" t="s">
        <v>113</v>
      </c>
      <c r="T12" s="95"/>
      <c r="U12" s="10">
        <v>1</v>
      </c>
      <c r="V12" s="5" t="s">
        <v>114</v>
      </c>
      <c r="W12" s="96"/>
      <c r="X12" s="10">
        <v>0.5</v>
      </c>
      <c r="Y12" s="5" t="s">
        <v>115</v>
      </c>
      <c r="Z12" s="97"/>
      <c r="AA12" s="10">
        <v>0.5</v>
      </c>
    </row>
    <row r="13" s="1" customFormat="1" spans="1:27">
      <c r="A13" s="5" t="s">
        <v>116</v>
      </c>
      <c r="B13" s="98"/>
      <c r="C13" s="7">
        <v>1</v>
      </c>
      <c r="D13" s="5" t="s">
        <v>117</v>
      </c>
      <c r="E13" s="99"/>
      <c r="F13" s="10">
        <v>1</v>
      </c>
      <c r="G13" s="5" t="s">
        <v>118</v>
      </c>
      <c r="H13" s="100"/>
      <c r="I13" s="10">
        <v>1</v>
      </c>
      <c r="J13" s="5" t="s">
        <v>119</v>
      </c>
      <c r="K13" s="101"/>
      <c r="L13" s="10">
        <v>1</v>
      </c>
      <c r="M13" s="5" t="s">
        <v>120</v>
      </c>
      <c r="N13" s="102"/>
      <c r="O13" s="10">
        <v>1</v>
      </c>
      <c r="P13" s="5" t="s">
        <v>121</v>
      </c>
      <c r="Q13" s="103"/>
      <c r="R13" s="10">
        <v>1</v>
      </c>
      <c r="S13" s="5" t="s">
        <v>122</v>
      </c>
      <c r="T13" s="104"/>
      <c r="U13" s="10">
        <v>1</v>
      </c>
      <c r="V13" s="5" t="s">
        <v>123</v>
      </c>
      <c r="W13" s="105"/>
      <c r="X13" s="10">
        <v>0.5</v>
      </c>
      <c r="Y13" s="5" t="s">
        <v>124</v>
      </c>
      <c r="Z13" s="106"/>
      <c r="AA13" s="10">
        <v>0.5</v>
      </c>
    </row>
    <row r="14" s="1" customFormat="1" spans="1:27">
      <c r="A14" s="5" t="s">
        <v>125</v>
      </c>
      <c r="B14" s="107"/>
      <c r="C14" s="7">
        <v>1</v>
      </c>
      <c r="D14" s="5" t="s">
        <v>126</v>
      </c>
      <c r="E14" s="108"/>
      <c r="F14" s="10">
        <v>1</v>
      </c>
      <c r="G14" s="5" t="s">
        <v>127</v>
      </c>
      <c r="H14" s="109"/>
      <c r="I14" s="10">
        <v>1</v>
      </c>
      <c r="J14" s="5" t="s">
        <v>128</v>
      </c>
      <c r="K14" s="110"/>
      <c r="L14" s="10">
        <v>1</v>
      </c>
      <c r="M14" s="5" t="s">
        <v>129</v>
      </c>
      <c r="N14" s="111"/>
      <c r="O14" s="10">
        <v>1</v>
      </c>
      <c r="P14" s="5" t="s">
        <v>130</v>
      </c>
      <c r="Q14" s="112"/>
      <c r="R14" s="10">
        <v>1</v>
      </c>
      <c r="S14" s="5" t="s">
        <v>131</v>
      </c>
      <c r="T14" s="113"/>
      <c r="U14" s="10">
        <v>1</v>
      </c>
      <c r="V14" s="5" t="s">
        <v>132</v>
      </c>
      <c r="W14" s="114"/>
      <c r="X14" s="10">
        <v>0.5</v>
      </c>
      <c r="Y14" s="5" t="s">
        <v>133</v>
      </c>
      <c r="Z14" s="115"/>
      <c r="AA14" s="10">
        <v>0.5</v>
      </c>
    </row>
    <row r="15" s="1" customFormat="1" spans="1:27">
      <c r="A15" s="5" t="s">
        <v>134</v>
      </c>
      <c r="B15" s="116"/>
      <c r="C15" s="7">
        <v>1</v>
      </c>
      <c r="D15" s="5" t="s">
        <v>135</v>
      </c>
      <c r="E15" s="117"/>
      <c r="F15" s="10">
        <v>1</v>
      </c>
      <c r="G15" s="5" t="s">
        <v>136</v>
      </c>
      <c r="H15" s="118"/>
      <c r="I15" s="10">
        <v>1</v>
      </c>
      <c r="J15" s="5" t="s">
        <v>137</v>
      </c>
      <c r="K15" s="119"/>
      <c r="L15" s="10">
        <v>1</v>
      </c>
      <c r="M15" s="5" t="s">
        <v>138</v>
      </c>
      <c r="N15" s="120"/>
      <c r="O15" s="10">
        <v>1</v>
      </c>
      <c r="P15" s="5" t="s">
        <v>139</v>
      </c>
      <c r="Q15" s="121"/>
      <c r="R15" s="10">
        <v>1</v>
      </c>
      <c r="S15" s="5" t="s">
        <v>140</v>
      </c>
      <c r="T15" s="122"/>
      <c r="U15" s="10">
        <v>1</v>
      </c>
      <c r="V15" s="5" t="s">
        <v>141</v>
      </c>
      <c r="W15" s="123"/>
      <c r="X15" s="10">
        <v>0.5</v>
      </c>
      <c r="Y15" s="5" t="s">
        <v>142</v>
      </c>
      <c r="Z15" s="124"/>
      <c r="AA15" s="10">
        <v>0.5</v>
      </c>
    </row>
    <row r="16" s="1" customFormat="1" spans="1:27">
      <c r="A16" s="5" t="s">
        <v>143</v>
      </c>
      <c r="B16" s="125"/>
      <c r="C16" s="7">
        <v>1</v>
      </c>
      <c r="D16" s="5" t="s">
        <v>144</v>
      </c>
      <c r="E16" s="126"/>
      <c r="F16" s="10">
        <v>1</v>
      </c>
      <c r="G16" s="5" t="s">
        <v>145</v>
      </c>
      <c r="H16" s="127"/>
      <c r="I16" s="10">
        <v>1</v>
      </c>
      <c r="J16" s="5" t="s">
        <v>146</v>
      </c>
      <c r="K16" s="128"/>
      <c r="L16" s="10">
        <v>1</v>
      </c>
      <c r="M16" s="5" t="s">
        <v>147</v>
      </c>
      <c r="N16" s="129"/>
      <c r="O16" s="10">
        <v>1</v>
      </c>
      <c r="P16" s="5" t="s">
        <v>148</v>
      </c>
      <c r="Q16" s="130"/>
      <c r="R16" s="10">
        <v>1</v>
      </c>
      <c r="S16" s="5" t="s">
        <v>149</v>
      </c>
      <c r="T16" s="131"/>
      <c r="U16" s="10">
        <v>1</v>
      </c>
      <c r="V16" s="5" t="s">
        <v>150</v>
      </c>
      <c r="W16" s="132"/>
      <c r="X16" s="10">
        <v>0.5</v>
      </c>
      <c r="Y16" s="5" t="s">
        <v>151</v>
      </c>
      <c r="Z16" s="133"/>
      <c r="AA16" s="10">
        <v>0.5</v>
      </c>
    </row>
    <row r="17" s="1" customFormat="1" spans="1:27">
      <c r="A17" s="5" t="s">
        <v>152</v>
      </c>
      <c r="B17" s="134"/>
      <c r="C17" s="7">
        <v>1</v>
      </c>
      <c r="D17" s="5" t="s">
        <v>153</v>
      </c>
      <c r="E17" s="135"/>
      <c r="F17" s="10">
        <v>1</v>
      </c>
      <c r="G17" s="5" t="s">
        <v>154</v>
      </c>
      <c r="H17" s="136"/>
      <c r="I17" s="10">
        <v>1</v>
      </c>
      <c r="J17" s="5" t="s">
        <v>155</v>
      </c>
      <c r="K17" s="137"/>
      <c r="L17" s="10">
        <v>1</v>
      </c>
      <c r="M17" s="5" t="s">
        <v>156</v>
      </c>
      <c r="N17" s="138"/>
      <c r="O17" s="10">
        <v>1</v>
      </c>
      <c r="P17" s="5" t="s">
        <v>157</v>
      </c>
      <c r="Q17" s="139"/>
      <c r="R17" s="10">
        <v>1</v>
      </c>
      <c r="S17" s="5" t="s">
        <v>158</v>
      </c>
      <c r="T17" s="140"/>
      <c r="U17" s="10">
        <v>1</v>
      </c>
      <c r="V17" s="5" t="s">
        <v>159</v>
      </c>
      <c r="W17" s="141"/>
      <c r="X17" s="10">
        <v>0.5</v>
      </c>
      <c r="Y17" s="5" t="s">
        <v>160</v>
      </c>
      <c r="Z17" s="142"/>
      <c r="AA17" s="10">
        <v>0.5</v>
      </c>
    </row>
    <row r="18" s="1" customFormat="1" spans="1:27">
      <c r="A18" s="5" t="s">
        <v>161</v>
      </c>
      <c r="B18" s="143"/>
      <c r="C18" s="7">
        <v>1</v>
      </c>
      <c r="D18" s="5" t="s">
        <v>162</v>
      </c>
      <c r="E18" s="144"/>
      <c r="F18" s="10">
        <v>1</v>
      </c>
      <c r="G18" s="5" t="s">
        <v>163</v>
      </c>
      <c r="H18" s="145"/>
      <c r="I18" s="10">
        <v>1</v>
      </c>
      <c r="J18" s="5" t="s">
        <v>164</v>
      </c>
      <c r="K18" s="146"/>
      <c r="L18" s="10">
        <v>1</v>
      </c>
      <c r="M18" s="5" t="s">
        <v>165</v>
      </c>
      <c r="N18" s="147"/>
      <c r="O18" s="10">
        <v>1</v>
      </c>
      <c r="P18" s="5" t="s">
        <v>166</v>
      </c>
      <c r="Q18" s="148"/>
      <c r="R18" s="10">
        <v>1</v>
      </c>
      <c r="S18" s="5" t="s">
        <v>167</v>
      </c>
      <c r="T18" s="149"/>
      <c r="U18" s="10">
        <v>1</v>
      </c>
      <c r="V18" s="5" t="s">
        <v>168</v>
      </c>
      <c r="W18" s="150"/>
      <c r="X18" s="10">
        <v>0.5</v>
      </c>
      <c r="Y18" s="10"/>
      <c r="Z18" s="10"/>
      <c r="AA18" s="10"/>
    </row>
    <row r="19" s="1" customFormat="1" spans="1:27">
      <c r="A19" s="5" t="s">
        <v>169</v>
      </c>
      <c r="B19" s="151"/>
      <c r="C19" s="7">
        <v>1</v>
      </c>
      <c r="D19" s="5" t="s">
        <v>170</v>
      </c>
      <c r="E19" s="152"/>
      <c r="F19" s="10">
        <v>1</v>
      </c>
      <c r="G19" s="5" t="s">
        <v>171</v>
      </c>
      <c r="H19" s="153"/>
      <c r="I19" s="10">
        <v>1</v>
      </c>
      <c r="J19" s="5" t="s">
        <v>172</v>
      </c>
      <c r="K19" s="154"/>
      <c r="L19" s="10">
        <v>1</v>
      </c>
      <c r="M19" s="5" t="s">
        <v>173</v>
      </c>
      <c r="N19" s="155"/>
      <c r="O19" s="10">
        <v>1</v>
      </c>
      <c r="P19" s="5" t="s">
        <v>174</v>
      </c>
      <c r="Q19" s="156"/>
      <c r="R19" s="10">
        <v>1</v>
      </c>
      <c r="S19" s="5" t="s">
        <v>175</v>
      </c>
      <c r="T19" s="157"/>
      <c r="U19" s="10">
        <v>1</v>
      </c>
      <c r="V19" s="5" t="s">
        <v>176</v>
      </c>
      <c r="W19" s="10"/>
      <c r="X19" s="10">
        <v>0.5</v>
      </c>
      <c r="Y19" s="10"/>
      <c r="Z19" s="10"/>
      <c r="AA19" s="10"/>
    </row>
    <row r="20" s="1" customFormat="1" spans="1:27">
      <c r="A20" s="5" t="s">
        <v>177</v>
      </c>
      <c r="B20" s="158"/>
      <c r="C20" s="7">
        <v>1</v>
      </c>
      <c r="D20" s="5" t="s">
        <v>178</v>
      </c>
      <c r="E20" s="159"/>
      <c r="F20" s="10">
        <v>1</v>
      </c>
      <c r="G20" s="5" t="s">
        <v>179</v>
      </c>
      <c r="H20" s="160"/>
      <c r="I20" s="10">
        <v>1</v>
      </c>
      <c r="J20" s="5" t="s">
        <v>180</v>
      </c>
      <c r="K20" s="161"/>
      <c r="L20" s="10">
        <v>1</v>
      </c>
      <c r="M20" s="5" t="s">
        <v>181</v>
      </c>
      <c r="N20" s="162"/>
      <c r="O20" s="10">
        <v>1</v>
      </c>
      <c r="P20" s="5" t="s">
        <v>182</v>
      </c>
      <c r="Q20" s="163"/>
      <c r="R20" s="10">
        <v>1</v>
      </c>
      <c r="S20" s="5" t="s">
        <v>183</v>
      </c>
      <c r="T20" s="164"/>
      <c r="U20" s="10">
        <v>1</v>
      </c>
      <c r="V20" s="5" t="s">
        <v>184</v>
      </c>
      <c r="W20" s="10"/>
      <c r="X20" s="10">
        <v>0.5</v>
      </c>
      <c r="Y20" s="10"/>
      <c r="Z20" s="10"/>
      <c r="AA20" s="10"/>
    </row>
    <row r="21" s="1" customFormat="1" spans="1:27">
      <c r="A21" s="5" t="s">
        <v>185</v>
      </c>
      <c r="B21" s="165"/>
      <c r="C21" s="7">
        <v>1</v>
      </c>
      <c r="D21" s="5" t="s">
        <v>186</v>
      </c>
      <c r="E21" s="166"/>
      <c r="F21" s="10">
        <v>1</v>
      </c>
      <c r="G21" s="5" t="s">
        <v>187</v>
      </c>
      <c r="H21" s="167"/>
      <c r="I21" s="10">
        <v>1</v>
      </c>
      <c r="J21" s="5" t="s">
        <v>188</v>
      </c>
      <c r="K21" s="168"/>
      <c r="L21" s="10">
        <v>1</v>
      </c>
      <c r="M21" s="5" t="s">
        <v>189</v>
      </c>
      <c r="N21" s="169"/>
      <c r="O21" s="10">
        <v>1</v>
      </c>
      <c r="P21" s="5" t="s">
        <v>190</v>
      </c>
      <c r="Q21" s="170"/>
      <c r="R21" s="10">
        <v>1</v>
      </c>
      <c r="S21" s="5" t="s">
        <v>191</v>
      </c>
      <c r="T21" s="171"/>
      <c r="U21" s="10">
        <v>1</v>
      </c>
      <c r="V21" s="5" t="s">
        <v>192</v>
      </c>
      <c r="W21" s="172"/>
      <c r="X21" s="10">
        <v>0.5</v>
      </c>
      <c r="Y21" s="10"/>
      <c r="Z21" s="10"/>
      <c r="AA21" s="10"/>
    </row>
    <row r="22" s="1" customFormat="1" spans="1:27">
      <c r="A22" s="5" t="s">
        <v>193</v>
      </c>
      <c r="B22" s="173"/>
      <c r="C22" s="7">
        <v>1</v>
      </c>
      <c r="D22" s="5" t="s">
        <v>194</v>
      </c>
      <c r="E22" s="174"/>
      <c r="F22" s="10">
        <v>1</v>
      </c>
      <c r="G22" s="5" t="s">
        <v>195</v>
      </c>
      <c r="H22" s="175"/>
      <c r="I22" s="10">
        <v>1</v>
      </c>
      <c r="J22" s="5" t="s">
        <v>196</v>
      </c>
      <c r="K22" s="176"/>
      <c r="L22" s="10">
        <v>1</v>
      </c>
      <c r="M22" s="5" t="s">
        <v>197</v>
      </c>
      <c r="N22" s="177"/>
      <c r="O22" s="10">
        <v>1</v>
      </c>
      <c r="P22" s="5" t="s">
        <v>198</v>
      </c>
      <c r="Q22" s="178"/>
      <c r="R22" s="10">
        <v>1</v>
      </c>
      <c r="S22" s="5" t="s">
        <v>199</v>
      </c>
      <c r="T22" s="179"/>
      <c r="U22" s="10">
        <v>1</v>
      </c>
      <c r="V22" s="5" t="s">
        <v>200</v>
      </c>
      <c r="W22" s="180"/>
      <c r="X22" s="10">
        <v>0.5</v>
      </c>
      <c r="Y22" s="10"/>
      <c r="Z22" s="10"/>
      <c r="AA22" s="10"/>
    </row>
    <row r="23" s="1" customFormat="1" spans="1:27">
      <c r="A23" s="5" t="s">
        <v>201</v>
      </c>
      <c r="B23" s="181"/>
      <c r="C23" s="7">
        <v>1</v>
      </c>
      <c r="D23" s="5" t="s">
        <v>202</v>
      </c>
      <c r="E23" s="182"/>
      <c r="F23" s="10">
        <v>1</v>
      </c>
      <c r="G23" s="5" t="s">
        <v>203</v>
      </c>
      <c r="H23" s="183"/>
      <c r="I23" s="10">
        <v>1</v>
      </c>
      <c r="J23" s="5" t="s">
        <v>204</v>
      </c>
      <c r="K23" s="184"/>
      <c r="L23" s="10">
        <v>1</v>
      </c>
      <c r="M23" s="5" t="s">
        <v>205</v>
      </c>
      <c r="N23" s="185"/>
      <c r="O23" s="10">
        <v>1</v>
      </c>
      <c r="P23" s="5" t="s">
        <v>206</v>
      </c>
      <c r="Q23" s="186"/>
      <c r="R23" s="10">
        <v>1</v>
      </c>
      <c r="S23" s="5" t="s">
        <v>207</v>
      </c>
      <c r="T23" s="187"/>
      <c r="U23" s="10">
        <v>1</v>
      </c>
      <c r="V23" s="5" t="s">
        <v>208</v>
      </c>
      <c r="W23" s="188"/>
      <c r="X23" s="10">
        <v>0.5</v>
      </c>
      <c r="Y23" s="10"/>
      <c r="Z23" s="10"/>
      <c r="AA23" s="10"/>
    </row>
    <row r="24" s="1" customFormat="1" spans="1:27">
      <c r="A24" s="5" t="s">
        <v>209</v>
      </c>
      <c r="B24" s="189"/>
      <c r="C24" s="7">
        <v>1</v>
      </c>
      <c r="D24" s="5" t="s">
        <v>210</v>
      </c>
      <c r="E24" s="190"/>
      <c r="F24" s="10">
        <v>1</v>
      </c>
      <c r="G24" s="5" t="s">
        <v>211</v>
      </c>
      <c r="H24" s="191"/>
      <c r="I24" s="10">
        <v>1</v>
      </c>
      <c r="J24" s="5" t="s">
        <v>212</v>
      </c>
      <c r="K24" s="192"/>
      <c r="L24" s="10">
        <v>1</v>
      </c>
      <c r="M24" s="5" t="s">
        <v>213</v>
      </c>
      <c r="N24" s="193"/>
      <c r="O24" s="10">
        <v>1</v>
      </c>
      <c r="P24" s="5" t="s">
        <v>214</v>
      </c>
      <c r="Q24" s="194"/>
      <c r="R24" s="10">
        <v>1</v>
      </c>
      <c r="S24" s="10"/>
      <c r="T24" s="10"/>
      <c r="U24" s="10"/>
      <c r="V24" s="5" t="s">
        <v>215</v>
      </c>
      <c r="W24" s="195"/>
      <c r="X24" s="10">
        <v>0.5</v>
      </c>
      <c r="Y24" s="10"/>
      <c r="Z24" s="10"/>
      <c r="AA24" s="10"/>
    </row>
    <row r="25" s="1" customFormat="1" spans="1:27">
      <c r="A25" s="5" t="s">
        <v>216</v>
      </c>
      <c r="B25" s="196"/>
      <c r="C25" s="7">
        <v>1</v>
      </c>
      <c r="D25" s="5" t="s">
        <v>217</v>
      </c>
      <c r="E25" s="197"/>
      <c r="F25" s="10">
        <v>1</v>
      </c>
      <c r="G25" s="5" t="s">
        <v>218</v>
      </c>
      <c r="H25" s="198"/>
      <c r="I25" s="10">
        <v>1</v>
      </c>
      <c r="J25" s="5" t="s">
        <v>219</v>
      </c>
      <c r="K25" s="199"/>
      <c r="L25" s="10">
        <v>1</v>
      </c>
      <c r="M25" s="26" t="s">
        <v>220</v>
      </c>
      <c r="N25" s="200"/>
      <c r="O25" s="10">
        <v>1</v>
      </c>
      <c r="P25" s="5" t="s">
        <v>221</v>
      </c>
      <c r="Q25" s="201"/>
      <c r="R25" s="10">
        <v>1</v>
      </c>
      <c r="S25" s="10"/>
      <c r="T25" s="10"/>
      <c r="U25" s="10"/>
      <c r="V25" s="26" t="s">
        <v>222</v>
      </c>
      <c r="W25" s="202"/>
      <c r="X25" s="10">
        <v>0.5</v>
      </c>
      <c r="Y25" s="10"/>
      <c r="Z25" s="10"/>
      <c r="AA25" s="10"/>
    </row>
    <row r="26" s="1" customFormat="1" spans="1:27">
      <c r="A26" s="5" t="s">
        <v>223</v>
      </c>
      <c r="B26" s="203"/>
      <c r="C26" s="7">
        <v>1</v>
      </c>
      <c r="D26" s="5" t="s">
        <v>224</v>
      </c>
      <c r="E26" s="204"/>
      <c r="F26" s="10">
        <v>1</v>
      </c>
      <c r="G26" s="5" t="s">
        <v>225</v>
      </c>
      <c r="H26" s="205"/>
      <c r="I26" s="10">
        <v>1</v>
      </c>
      <c r="J26" s="5" t="s">
        <v>226</v>
      </c>
      <c r="K26" s="206"/>
      <c r="L26" s="10">
        <v>1</v>
      </c>
      <c r="M26" s="5" t="s">
        <v>227</v>
      </c>
      <c r="N26" s="207"/>
      <c r="O26" s="10">
        <v>1</v>
      </c>
      <c r="P26" s="5" t="s">
        <v>228</v>
      </c>
      <c r="Q26" s="208"/>
      <c r="R26" s="10">
        <v>1</v>
      </c>
      <c r="S26" s="10"/>
      <c r="T26" s="10"/>
      <c r="U26" s="10"/>
      <c r="V26" s="10"/>
      <c r="W26" s="10"/>
      <c r="X26" s="10"/>
      <c r="Y26" s="10"/>
      <c r="Z26" s="10"/>
      <c r="AA26" s="10"/>
    </row>
    <row r="27" s="1" customFormat="1" spans="1:27">
      <c r="A27" s="209" t="s">
        <v>229</v>
      </c>
      <c r="B27" s="203"/>
      <c r="C27" s="7">
        <v>1</v>
      </c>
      <c r="D27" s="5" t="s">
        <v>230</v>
      </c>
      <c r="E27" s="210"/>
      <c r="F27" s="10">
        <v>1</v>
      </c>
      <c r="G27" s="5" t="s">
        <v>231</v>
      </c>
      <c r="H27" s="211"/>
      <c r="I27" s="10">
        <v>1</v>
      </c>
      <c r="J27" s="5" t="s">
        <v>232</v>
      </c>
      <c r="K27" s="212"/>
      <c r="L27" s="10">
        <v>1</v>
      </c>
      <c r="M27" s="10"/>
      <c r="N27" s="10"/>
      <c r="O27" s="10"/>
      <c r="P27" s="5" t="s">
        <v>233</v>
      </c>
      <c r="Q27" s="213"/>
      <c r="R27" s="10">
        <v>1</v>
      </c>
      <c r="S27" s="10"/>
      <c r="T27" s="10"/>
      <c r="U27" s="10"/>
      <c r="V27" s="10"/>
      <c r="W27" s="10"/>
      <c r="X27" s="10"/>
      <c r="Y27" s="10"/>
      <c r="Z27" s="10"/>
      <c r="AA27" s="10"/>
    </row>
    <row r="28" s="1" customFormat="1" spans="1:27">
      <c r="A28" s="5" t="s">
        <v>234</v>
      </c>
      <c r="B28" s="214"/>
      <c r="C28" s="7">
        <v>1</v>
      </c>
      <c r="D28" s="5" t="s">
        <v>235</v>
      </c>
      <c r="E28" s="215"/>
      <c r="F28" s="10">
        <v>1</v>
      </c>
      <c r="G28" s="5" t="s">
        <v>236</v>
      </c>
      <c r="H28" s="216"/>
      <c r="I28" s="10">
        <v>1</v>
      </c>
      <c r="J28" s="5" t="s">
        <v>237</v>
      </c>
      <c r="K28" s="217"/>
      <c r="L28" s="10">
        <v>1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s="1" customFormat="1" spans="1:27">
      <c r="A29" s="10"/>
      <c r="B29" s="10"/>
      <c r="C29" s="10"/>
      <c r="D29" s="5" t="s">
        <v>238</v>
      </c>
      <c r="E29" s="218"/>
      <c r="F29" s="10">
        <v>1</v>
      </c>
      <c r="G29" s="5" t="s">
        <v>239</v>
      </c>
      <c r="H29" s="219"/>
      <c r="I29" s="10">
        <v>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 s="1" customFormat="1" spans="1:27">
      <c r="A30" s="10"/>
      <c r="B30" s="10"/>
      <c r="C30" s="10"/>
      <c r="D30" s="5" t="s">
        <v>240</v>
      </c>
      <c r="E30" s="220"/>
      <c r="F30" s="10">
        <v>1</v>
      </c>
      <c r="G30" s="221" t="s">
        <v>241</v>
      </c>
      <c r="H30" s="222"/>
      <c r="I30" s="10">
        <v>1</v>
      </c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 s="1" customFormat="1" spans="1:27">
      <c r="A31" s="10"/>
      <c r="B31" s="10"/>
      <c r="C31" s="10"/>
      <c r="D31" s="5" t="s">
        <v>242</v>
      </c>
      <c r="E31" s="223"/>
      <c r="F31" s="10">
        <v>1</v>
      </c>
      <c r="G31" s="5" t="s">
        <v>243</v>
      </c>
      <c r="H31" s="224"/>
      <c r="I31" s="10">
        <v>1</v>
      </c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 s="1" customFormat="1" spans="1:27">
      <c r="A32" s="10"/>
      <c r="B32" s="10"/>
      <c r="C32" s="10"/>
      <c r="D32" s="5" t="s">
        <v>244</v>
      </c>
      <c r="E32" s="225"/>
      <c r="F32" s="10">
        <v>1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s="1" customFormat="1" spans="1:27">
      <c r="A33" s="10"/>
      <c r="B33" s="10"/>
      <c r="C33" s="10"/>
      <c r="D33" s="5" t="s">
        <v>245</v>
      </c>
      <c r="E33" s="226"/>
      <c r="F33" s="10">
        <v>1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s="1" customFormat="1" spans="1:27">
      <c r="A34" s="10"/>
      <c r="B34" s="10"/>
      <c r="C34" s="10"/>
      <c r="D34" s="5" t="s">
        <v>246</v>
      </c>
      <c r="E34" s="227"/>
      <c r="F34" s="10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 ht="17.55" spans="1:27">
      <c r="A35" s="240"/>
      <c r="B35" s="240"/>
      <c r="C35" s="240"/>
      <c r="D35" s="240"/>
      <c r="E35" s="240"/>
    </row>
    <row r="36" ht="20.4" spans="1:27">
      <c r="A36" s="228"/>
      <c r="B36" s="229"/>
      <c r="C36" s="229"/>
      <c r="D36" s="229"/>
      <c r="E36" s="230"/>
    </row>
    <row r="37" ht="20.4" spans="1:27">
      <c r="A37" s="231" t="s">
        <v>247</v>
      </c>
      <c r="B37" s="229"/>
      <c r="C37" s="232">
        <f>SUM(C3:C28,F3:F34,I3:I31,L3:L28,O3:O26,R3:R27,U4:U23,X3:X25,AA3:AA17)</f>
        <v>207.5</v>
      </c>
      <c r="D37" s="229" t="s">
        <v>248</v>
      </c>
      <c r="E37" s="230"/>
    </row>
    <row r="38" ht="20.4" spans="1:27">
      <c r="A38" s="231" t="s">
        <v>249</v>
      </c>
      <c r="B38" s="229"/>
      <c r="C38" s="232">
        <f>COUNTIF(C3:C28,"&gt;0")+COUNTIF(F3:F34,"&gt;0")+COUNTIF(I3:I31,"&gt;0")+COUNTIF(L3:L28,"&gt;0")+COUNTIF(O3:O26,"&gt;0")+COUNTIF(R3:R27,"&gt;0")+COUNTIF(U3:U23,"&gt;0")+COUNTIF(X3:X25,"&gt;0")+COUNTIF(AA3:AA17,"&gt;0")</f>
        <v>221</v>
      </c>
      <c r="D38" s="229" t="s">
        <v>250</v>
      </c>
      <c r="E38" s="230"/>
    </row>
    <row r="39" ht="20.4" spans="1:27">
      <c r="A39" s="233" t="s">
        <v>251</v>
      </c>
      <c r="B39" s="229"/>
      <c r="C39" s="229">
        <v>40</v>
      </c>
      <c r="D39" s="229" t="s">
        <v>252</v>
      </c>
      <c r="E39" s="230"/>
    </row>
    <row r="40" ht="20.4" spans="1:27">
      <c r="A40" s="234" t="s">
        <v>253</v>
      </c>
      <c r="B40" s="235"/>
      <c r="C40" s="236">
        <f>C37*C39</f>
        <v>8300</v>
      </c>
      <c r="D40" s="235" t="s">
        <v>254</v>
      </c>
      <c r="E40" s="230"/>
    </row>
    <row r="41" ht="21.15" spans="1:27">
      <c r="A41" s="237"/>
      <c r="B41" s="238"/>
      <c r="C41" s="238"/>
      <c r="D41" s="238"/>
      <c r="E41" s="239"/>
    </row>
  </sheetData>
  <mergeCells count="10">
    <mergeCell ref="A1:AA1"/>
    <mergeCell ref="A2:C2"/>
    <mergeCell ref="D2:F2"/>
    <mergeCell ref="G2:I2"/>
    <mergeCell ref="J2:L2"/>
    <mergeCell ref="M2:O2"/>
    <mergeCell ref="P2:R2"/>
    <mergeCell ref="S2:U2"/>
    <mergeCell ref="V2:X2"/>
    <mergeCell ref="Y2:AA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41"/>
  <sheetViews>
    <sheetView zoomScale="90" zoomScaleNormal="90" topLeftCell="A2" workbookViewId="0">
      <selection activeCell="C39" sqref="C39"/>
    </sheetView>
  </sheetViews>
  <sheetFormatPr defaultColWidth="15.2307692307692" defaultRowHeight="16.8"/>
  <cols>
    <col min="1" max="1" width="3.84615384615385" style="1" customWidth="1"/>
    <col min="2" max="2" width="15.2307692307692" style="1"/>
    <col min="3" max="3" width="15.2307692307692" style="1" customWidth="1"/>
    <col min="4" max="4" width="3.65384615384615" style="1" customWidth="1"/>
    <col min="5" max="6" width="15.2307692307692" style="1"/>
    <col min="7" max="7" width="3.84615384615385" style="1" customWidth="1"/>
    <col min="8" max="9" width="15.2307692307692" style="1"/>
    <col min="10" max="10" width="4.03846153846154" style="1" customWidth="1"/>
    <col min="11" max="12" width="15.2307692307692" style="1"/>
    <col min="13" max="13" width="3.84615384615385" style="1" customWidth="1"/>
    <col min="14" max="15" width="15.2307692307692" style="1"/>
    <col min="16" max="16" width="3.65384615384615" style="1" customWidth="1"/>
    <col min="17" max="18" width="15.2307692307692" style="1"/>
    <col min="19" max="19" width="4.03846153846154" style="1" customWidth="1"/>
    <col min="20" max="21" width="15.2307692307692" style="1"/>
    <col min="22" max="22" width="4.03846153846154" style="1" customWidth="1"/>
    <col min="23" max="24" width="15.2307692307692" style="1"/>
    <col min="25" max="25" width="4.23076923076923" style="1" customWidth="1"/>
    <col min="26" max="27" width="15.2307692307692" style="1" customWidth="1"/>
    <col min="28" max="28" width="22.8365384615385" style="1" customWidth="1"/>
    <col min="29" max="16384" width="15.2307692307692" style="1"/>
  </cols>
  <sheetData>
    <row r="1" s="1" customFormat="1" ht="79" customHeight="1" spans="1:27">
      <c r="A1" s="2" t="s">
        <v>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="1" customFormat="1" spans="1:27">
      <c r="A2" s="4" t="s">
        <v>17</v>
      </c>
      <c r="B2" s="4"/>
      <c r="C2" s="4"/>
      <c r="D2" s="4" t="s">
        <v>18</v>
      </c>
      <c r="E2" s="4"/>
      <c r="F2" s="4"/>
      <c r="G2" s="4" t="s">
        <v>19</v>
      </c>
      <c r="H2" s="4"/>
      <c r="I2" s="4"/>
      <c r="J2" s="4" t="s">
        <v>20</v>
      </c>
      <c r="K2" s="4"/>
      <c r="L2" s="4"/>
      <c r="M2" s="4" t="s">
        <v>21</v>
      </c>
      <c r="N2" s="4"/>
      <c r="O2" s="4"/>
      <c r="P2" s="4" t="s">
        <v>22</v>
      </c>
      <c r="Q2" s="4"/>
      <c r="R2" s="4"/>
      <c r="S2" s="4" t="s">
        <v>23</v>
      </c>
      <c r="T2" s="4"/>
      <c r="U2" s="4"/>
      <c r="V2" s="4" t="s">
        <v>24</v>
      </c>
      <c r="W2" s="4"/>
      <c r="X2" s="4"/>
      <c r="Y2" s="4" t="s">
        <v>25</v>
      </c>
      <c r="Z2" s="4"/>
      <c r="AA2" s="4"/>
    </row>
    <row r="3" s="1" customFormat="1" spans="1:27">
      <c r="A3" s="5" t="s">
        <v>26</v>
      </c>
      <c r="B3" s="6"/>
      <c r="C3" s="7"/>
      <c r="D3" s="8" t="s">
        <v>27</v>
      </c>
      <c r="E3" s="9"/>
      <c r="F3" s="10"/>
      <c r="G3" s="5" t="s">
        <v>28</v>
      </c>
      <c r="H3" s="11"/>
      <c r="I3" s="10"/>
      <c r="J3" s="5" t="s">
        <v>29</v>
      </c>
      <c r="K3" s="12"/>
      <c r="L3" s="10"/>
      <c r="M3" s="5" t="s">
        <v>30</v>
      </c>
      <c r="N3" s="13"/>
      <c r="O3" s="10"/>
      <c r="P3" s="5" t="s">
        <v>31</v>
      </c>
      <c r="Q3" s="14"/>
      <c r="R3" s="10"/>
      <c r="S3" s="5" t="s">
        <v>32</v>
      </c>
      <c r="T3" s="15"/>
      <c r="U3" s="10"/>
      <c r="V3" s="5" t="s">
        <v>33</v>
      </c>
      <c r="W3" s="10"/>
      <c r="X3" s="10"/>
      <c r="Y3" s="5" t="s">
        <v>34</v>
      </c>
      <c r="Z3" s="16"/>
      <c r="AA3" s="10"/>
    </row>
    <row r="4" s="1" customFormat="1" spans="1:27">
      <c r="A4" s="5" t="s">
        <v>35</v>
      </c>
      <c r="B4" s="17"/>
      <c r="C4" s="7"/>
      <c r="D4" s="5" t="s">
        <v>36</v>
      </c>
      <c r="E4" s="18"/>
      <c r="F4" s="10"/>
      <c r="G4" s="5" t="s">
        <v>37</v>
      </c>
      <c r="H4" s="19"/>
      <c r="I4" s="10"/>
      <c r="J4" s="5" t="s">
        <v>38</v>
      </c>
      <c r="K4" s="20"/>
      <c r="L4" s="10"/>
      <c r="M4" s="5" t="s">
        <v>39</v>
      </c>
      <c r="N4" s="21"/>
      <c r="O4" s="10"/>
      <c r="P4" s="5" t="s">
        <v>40</v>
      </c>
      <c r="Q4" s="22"/>
      <c r="R4" s="10"/>
      <c r="S4" s="5" t="s">
        <v>41</v>
      </c>
      <c r="T4" s="23"/>
      <c r="U4" s="10"/>
      <c r="V4" s="5" t="s">
        <v>42</v>
      </c>
      <c r="W4" s="10"/>
      <c r="X4" s="10"/>
      <c r="Y4" s="5" t="s">
        <v>43</v>
      </c>
      <c r="Z4" s="24"/>
      <c r="AA4" s="10"/>
    </row>
    <row r="5" s="1" customFormat="1" spans="1:27">
      <c r="A5" s="5" t="s">
        <v>44</v>
      </c>
      <c r="B5" s="25"/>
      <c r="C5" s="7"/>
      <c r="D5" s="26" t="s">
        <v>45</v>
      </c>
      <c r="E5" s="27"/>
      <c r="F5" s="10"/>
      <c r="G5" s="5" t="s">
        <v>46</v>
      </c>
      <c r="H5" s="28"/>
      <c r="I5" s="10"/>
      <c r="J5" s="5" t="s">
        <v>47</v>
      </c>
      <c r="K5" s="29"/>
      <c r="L5" s="10"/>
      <c r="M5" s="5" t="s">
        <v>48</v>
      </c>
      <c r="N5" s="30"/>
      <c r="O5" s="10"/>
      <c r="P5" s="5" t="s">
        <v>49</v>
      </c>
      <c r="Q5" s="31"/>
      <c r="R5" s="10"/>
      <c r="S5" s="5" t="s">
        <v>50</v>
      </c>
      <c r="T5" s="32"/>
      <c r="U5" s="10"/>
      <c r="V5" s="5" t="s">
        <v>51</v>
      </c>
      <c r="W5" s="33"/>
      <c r="X5" s="10"/>
      <c r="Y5" s="5" t="s">
        <v>52</v>
      </c>
      <c r="Z5" s="34"/>
      <c r="AA5" s="10"/>
    </row>
    <row r="6" s="1" customFormat="1" spans="1:27">
      <c r="A6" s="5" t="s">
        <v>53</v>
      </c>
      <c r="B6" s="35"/>
      <c r="C6" s="7"/>
      <c r="D6" s="5" t="s">
        <v>54</v>
      </c>
      <c r="E6" s="36"/>
      <c r="F6" s="10"/>
      <c r="G6" s="5" t="s">
        <v>55</v>
      </c>
      <c r="H6" s="37"/>
      <c r="I6" s="10"/>
      <c r="J6" s="5" t="s">
        <v>56</v>
      </c>
      <c r="K6" s="38"/>
      <c r="L6" s="10"/>
      <c r="M6" s="5" t="s">
        <v>57</v>
      </c>
      <c r="N6" s="39"/>
      <c r="O6" s="10"/>
      <c r="P6" s="5" t="s">
        <v>58</v>
      </c>
      <c r="Q6" s="40"/>
      <c r="R6" s="10"/>
      <c r="S6" s="5" t="s">
        <v>59</v>
      </c>
      <c r="T6" s="41"/>
      <c r="U6" s="10"/>
      <c r="V6" s="5" t="s">
        <v>60</v>
      </c>
      <c r="W6" s="42"/>
      <c r="X6" s="10"/>
      <c r="Y6" s="5" t="s">
        <v>61</v>
      </c>
      <c r="Z6" s="43"/>
      <c r="AA6" s="10"/>
    </row>
    <row r="7" s="1" customFormat="1" spans="1:27">
      <c r="A7" s="5" t="s">
        <v>62</v>
      </c>
      <c r="B7" s="44"/>
      <c r="C7" s="7"/>
      <c r="D7" s="5" t="s">
        <v>63</v>
      </c>
      <c r="E7" s="45"/>
      <c r="F7" s="10"/>
      <c r="G7" s="5" t="s">
        <v>64</v>
      </c>
      <c r="H7" s="46"/>
      <c r="I7" s="10"/>
      <c r="J7" s="5" t="s">
        <v>65</v>
      </c>
      <c r="K7" s="47"/>
      <c r="L7" s="10"/>
      <c r="M7" s="5" t="s">
        <v>66</v>
      </c>
      <c r="N7" s="48"/>
      <c r="O7" s="10"/>
      <c r="P7" s="5" t="s">
        <v>67</v>
      </c>
      <c r="Q7" s="49"/>
      <c r="R7" s="10"/>
      <c r="S7" s="5" t="s">
        <v>68</v>
      </c>
      <c r="T7" s="50"/>
      <c r="U7" s="10"/>
      <c r="V7" s="5" t="s">
        <v>69</v>
      </c>
      <c r="W7" s="51"/>
      <c r="X7" s="10"/>
      <c r="Y7" s="5" t="s">
        <v>70</v>
      </c>
      <c r="Z7" s="52"/>
      <c r="AA7" s="10"/>
    </row>
    <row r="8" s="1" customFormat="1" spans="1:27">
      <c r="A8" s="5" t="s">
        <v>71</v>
      </c>
      <c r="B8" s="53"/>
      <c r="C8" s="7"/>
      <c r="D8" s="5" t="s">
        <v>72</v>
      </c>
      <c r="E8" s="54"/>
      <c r="F8" s="10"/>
      <c r="G8" s="5" t="s">
        <v>73</v>
      </c>
      <c r="H8" s="55"/>
      <c r="I8" s="10"/>
      <c r="J8" s="5" t="s">
        <v>74</v>
      </c>
      <c r="K8" s="56"/>
      <c r="L8" s="10"/>
      <c r="M8" s="5" t="s">
        <v>75</v>
      </c>
      <c r="N8" s="57"/>
      <c r="O8" s="10"/>
      <c r="P8" s="5" t="s">
        <v>76</v>
      </c>
      <c r="Q8" s="58"/>
      <c r="R8" s="10"/>
      <c r="S8" s="5" t="s">
        <v>77</v>
      </c>
      <c r="T8" s="59"/>
      <c r="U8" s="10"/>
      <c r="V8" s="5" t="s">
        <v>78</v>
      </c>
      <c r="W8" s="60"/>
      <c r="X8" s="10"/>
      <c r="Y8" s="5" t="s">
        <v>79</v>
      </c>
      <c r="Z8" s="61"/>
      <c r="AA8" s="10"/>
    </row>
    <row r="9" s="1" customFormat="1" spans="1:27">
      <c r="A9" s="5" t="s">
        <v>80</v>
      </c>
      <c r="B9" s="62"/>
      <c r="C9" s="7"/>
      <c r="D9" s="5" t="s">
        <v>81</v>
      </c>
      <c r="E9" s="63"/>
      <c r="F9" s="10"/>
      <c r="G9" s="5" t="s">
        <v>82</v>
      </c>
      <c r="H9" s="64"/>
      <c r="I9" s="10"/>
      <c r="J9" s="5" t="s">
        <v>83</v>
      </c>
      <c r="K9" s="65"/>
      <c r="L9" s="10"/>
      <c r="M9" s="5" t="s">
        <v>84</v>
      </c>
      <c r="N9" s="66"/>
      <c r="O9" s="10"/>
      <c r="P9" s="5" t="s">
        <v>85</v>
      </c>
      <c r="Q9" s="67"/>
      <c r="R9" s="10"/>
      <c r="S9" s="5" t="s">
        <v>86</v>
      </c>
      <c r="T9" s="68"/>
      <c r="U9" s="10"/>
      <c r="V9" s="5" t="s">
        <v>87</v>
      </c>
      <c r="W9" s="69"/>
      <c r="X9" s="10"/>
      <c r="Y9" s="5" t="s">
        <v>88</v>
      </c>
      <c r="Z9" s="70"/>
      <c r="AA9" s="10"/>
    </row>
    <row r="10" s="1" customFormat="1" spans="1:27">
      <c r="A10" s="5" t="s">
        <v>89</v>
      </c>
      <c r="B10" s="71"/>
      <c r="C10" s="7"/>
      <c r="D10" s="5" t="s">
        <v>90</v>
      </c>
      <c r="E10" s="72"/>
      <c r="F10" s="10"/>
      <c r="G10" s="5" t="s">
        <v>91</v>
      </c>
      <c r="H10" s="73"/>
      <c r="I10" s="10"/>
      <c r="J10" s="5" t="s">
        <v>92</v>
      </c>
      <c r="K10" s="74"/>
      <c r="L10" s="10"/>
      <c r="M10" s="5" t="s">
        <v>93</v>
      </c>
      <c r="N10" s="75"/>
      <c r="O10" s="10"/>
      <c r="P10" s="5" t="s">
        <v>94</v>
      </c>
      <c r="Q10" s="76"/>
      <c r="R10" s="10"/>
      <c r="S10" s="5" t="s">
        <v>95</v>
      </c>
      <c r="T10" s="77"/>
      <c r="U10" s="10"/>
      <c r="V10" s="5" t="s">
        <v>96</v>
      </c>
      <c r="W10" s="78"/>
      <c r="X10" s="10"/>
      <c r="Y10" s="5" t="s">
        <v>97</v>
      </c>
      <c r="Z10" s="79"/>
      <c r="AA10" s="10"/>
    </row>
    <row r="11" s="1" customFormat="1" spans="1:27">
      <c r="A11" s="5" t="s">
        <v>98</v>
      </c>
      <c r="B11" s="80"/>
      <c r="C11" s="7"/>
      <c r="D11" s="5" t="s">
        <v>99</v>
      </c>
      <c r="E11" s="81"/>
      <c r="F11" s="10"/>
      <c r="G11" s="5" t="s">
        <v>100</v>
      </c>
      <c r="H11" s="82"/>
      <c r="I11" s="10"/>
      <c r="J11" s="5" t="s">
        <v>101</v>
      </c>
      <c r="K11" s="83"/>
      <c r="L11" s="10"/>
      <c r="M11" s="5" t="s">
        <v>102</v>
      </c>
      <c r="N11" s="84"/>
      <c r="O11" s="10"/>
      <c r="P11" s="5" t="s">
        <v>103</v>
      </c>
      <c r="Q11" s="85"/>
      <c r="R11" s="10"/>
      <c r="S11" s="5" t="s">
        <v>104</v>
      </c>
      <c r="T11" s="86"/>
      <c r="U11" s="10"/>
      <c r="V11" s="5" t="s">
        <v>105</v>
      </c>
      <c r="W11" s="87"/>
      <c r="X11" s="10"/>
      <c r="Y11" s="5" t="s">
        <v>106</v>
      </c>
      <c r="Z11" s="88"/>
      <c r="AA11" s="10"/>
    </row>
    <row r="12" s="1" customFormat="1" spans="1:27">
      <c r="A12" s="5" t="s">
        <v>107</v>
      </c>
      <c r="B12" s="89"/>
      <c r="C12" s="7"/>
      <c r="D12" s="5" t="s">
        <v>108</v>
      </c>
      <c r="E12" s="90"/>
      <c r="F12" s="10"/>
      <c r="G12" s="5" t="s">
        <v>109</v>
      </c>
      <c r="H12" s="91"/>
      <c r="I12" s="10"/>
      <c r="J12" s="5" t="s">
        <v>110</v>
      </c>
      <c r="K12" s="92"/>
      <c r="L12" s="10"/>
      <c r="M12" s="5" t="s">
        <v>111</v>
      </c>
      <c r="N12" s="93"/>
      <c r="O12" s="10"/>
      <c r="P12" s="5" t="s">
        <v>112</v>
      </c>
      <c r="Q12" s="94"/>
      <c r="R12" s="10"/>
      <c r="S12" s="5" t="s">
        <v>113</v>
      </c>
      <c r="T12" s="95"/>
      <c r="U12" s="10"/>
      <c r="V12" s="5" t="s">
        <v>114</v>
      </c>
      <c r="W12" s="96"/>
      <c r="X12" s="10"/>
      <c r="Y12" s="5" t="s">
        <v>115</v>
      </c>
      <c r="Z12" s="97"/>
      <c r="AA12" s="10"/>
    </row>
    <row r="13" s="1" customFormat="1" spans="1:27">
      <c r="A13" s="5" t="s">
        <v>116</v>
      </c>
      <c r="B13" s="98"/>
      <c r="C13" s="7"/>
      <c r="D13" s="5" t="s">
        <v>117</v>
      </c>
      <c r="E13" s="99"/>
      <c r="F13" s="10"/>
      <c r="G13" s="5" t="s">
        <v>118</v>
      </c>
      <c r="H13" s="100"/>
      <c r="I13" s="10"/>
      <c r="J13" s="5" t="s">
        <v>119</v>
      </c>
      <c r="K13" s="101"/>
      <c r="L13" s="10"/>
      <c r="M13" s="5" t="s">
        <v>120</v>
      </c>
      <c r="N13" s="102"/>
      <c r="O13" s="10"/>
      <c r="P13" s="5" t="s">
        <v>121</v>
      </c>
      <c r="Q13" s="103"/>
      <c r="R13" s="10"/>
      <c r="S13" s="5" t="s">
        <v>122</v>
      </c>
      <c r="T13" s="104"/>
      <c r="U13" s="10"/>
      <c r="V13" s="5" t="s">
        <v>123</v>
      </c>
      <c r="W13" s="105"/>
      <c r="X13" s="10"/>
      <c r="Y13" s="5" t="s">
        <v>124</v>
      </c>
      <c r="Z13" s="106"/>
      <c r="AA13" s="10"/>
    </row>
    <row r="14" s="1" customFormat="1" spans="1:27">
      <c r="A14" s="5" t="s">
        <v>125</v>
      </c>
      <c r="B14" s="107"/>
      <c r="C14" s="7"/>
      <c r="D14" s="5" t="s">
        <v>126</v>
      </c>
      <c r="E14" s="108"/>
      <c r="F14" s="10"/>
      <c r="G14" s="5" t="s">
        <v>127</v>
      </c>
      <c r="H14" s="109"/>
      <c r="I14" s="10"/>
      <c r="J14" s="5" t="s">
        <v>128</v>
      </c>
      <c r="K14" s="110"/>
      <c r="L14" s="10"/>
      <c r="M14" s="5" t="s">
        <v>129</v>
      </c>
      <c r="N14" s="111"/>
      <c r="O14" s="10"/>
      <c r="P14" s="5" t="s">
        <v>130</v>
      </c>
      <c r="Q14" s="112"/>
      <c r="R14" s="10"/>
      <c r="S14" s="5" t="s">
        <v>131</v>
      </c>
      <c r="T14" s="113"/>
      <c r="U14" s="10"/>
      <c r="V14" s="5" t="s">
        <v>132</v>
      </c>
      <c r="W14" s="114"/>
      <c r="X14" s="10"/>
      <c r="Y14" s="5" t="s">
        <v>133</v>
      </c>
      <c r="Z14" s="115"/>
      <c r="AA14" s="10"/>
    </row>
    <row r="15" s="1" customFormat="1" spans="1:27">
      <c r="A15" s="5" t="s">
        <v>134</v>
      </c>
      <c r="B15" s="116"/>
      <c r="C15" s="7"/>
      <c r="D15" s="5" t="s">
        <v>135</v>
      </c>
      <c r="E15" s="117"/>
      <c r="F15" s="10"/>
      <c r="G15" s="5" t="s">
        <v>136</v>
      </c>
      <c r="H15" s="118"/>
      <c r="I15" s="10"/>
      <c r="J15" s="5" t="s">
        <v>137</v>
      </c>
      <c r="K15" s="119"/>
      <c r="L15" s="10"/>
      <c r="M15" s="5" t="s">
        <v>138</v>
      </c>
      <c r="N15" s="120"/>
      <c r="O15" s="10"/>
      <c r="P15" s="5" t="s">
        <v>139</v>
      </c>
      <c r="Q15" s="121"/>
      <c r="R15" s="10"/>
      <c r="S15" s="5" t="s">
        <v>140</v>
      </c>
      <c r="T15" s="122"/>
      <c r="U15" s="10"/>
      <c r="V15" s="5" t="s">
        <v>141</v>
      </c>
      <c r="W15" s="123"/>
      <c r="X15" s="10"/>
      <c r="Y15" s="5" t="s">
        <v>142</v>
      </c>
      <c r="Z15" s="124"/>
      <c r="AA15" s="10"/>
    </row>
    <row r="16" s="1" customFormat="1" spans="1:27">
      <c r="A16" s="5" t="s">
        <v>143</v>
      </c>
      <c r="B16" s="125"/>
      <c r="C16" s="7"/>
      <c r="D16" s="5" t="s">
        <v>144</v>
      </c>
      <c r="E16" s="126"/>
      <c r="F16" s="10"/>
      <c r="G16" s="5" t="s">
        <v>145</v>
      </c>
      <c r="H16" s="127"/>
      <c r="I16" s="10"/>
      <c r="J16" s="5" t="s">
        <v>146</v>
      </c>
      <c r="K16" s="128"/>
      <c r="L16" s="10"/>
      <c r="M16" s="5" t="s">
        <v>147</v>
      </c>
      <c r="N16" s="129"/>
      <c r="O16" s="10"/>
      <c r="P16" s="5" t="s">
        <v>148</v>
      </c>
      <c r="Q16" s="130"/>
      <c r="R16" s="10"/>
      <c r="S16" s="5" t="s">
        <v>149</v>
      </c>
      <c r="T16" s="131"/>
      <c r="U16" s="10"/>
      <c r="V16" s="5" t="s">
        <v>150</v>
      </c>
      <c r="W16" s="132"/>
      <c r="X16" s="10"/>
      <c r="Y16" s="5" t="s">
        <v>151</v>
      </c>
      <c r="Z16" s="133"/>
      <c r="AA16" s="10"/>
    </row>
    <row r="17" s="1" customFormat="1" spans="1:27">
      <c r="A17" s="5" t="s">
        <v>152</v>
      </c>
      <c r="B17" s="134"/>
      <c r="C17" s="7"/>
      <c r="D17" s="5" t="s">
        <v>153</v>
      </c>
      <c r="E17" s="135"/>
      <c r="F17" s="10"/>
      <c r="G17" s="5" t="s">
        <v>154</v>
      </c>
      <c r="H17" s="136"/>
      <c r="I17" s="10"/>
      <c r="J17" s="5" t="s">
        <v>155</v>
      </c>
      <c r="K17" s="137"/>
      <c r="L17" s="10"/>
      <c r="M17" s="5" t="s">
        <v>156</v>
      </c>
      <c r="N17" s="138"/>
      <c r="O17" s="10"/>
      <c r="P17" s="5" t="s">
        <v>157</v>
      </c>
      <c r="Q17" s="139"/>
      <c r="R17" s="10"/>
      <c r="S17" s="5" t="s">
        <v>158</v>
      </c>
      <c r="T17" s="140"/>
      <c r="U17" s="10"/>
      <c r="V17" s="5" t="s">
        <v>159</v>
      </c>
      <c r="W17" s="141"/>
      <c r="X17" s="10"/>
      <c r="Y17" s="5" t="s">
        <v>160</v>
      </c>
      <c r="Z17" s="142"/>
      <c r="AA17" s="10"/>
    </row>
    <row r="18" s="1" customFormat="1" spans="1:27">
      <c r="A18" s="5" t="s">
        <v>161</v>
      </c>
      <c r="B18" s="143"/>
      <c r="C18" s="7"/>
      <c r="D18" s="5" t="s">
        <v>162</v>
      </c>
      <c r="E18" s="144"/>
      <c r="F18" s="10"/>
      <c r="G18" s="5" t="s">
        <v>163</v>
      </c>
      <c r="H18" s="145"/>
      <c r="I18" s="10"/>
      <c r="J18" s="5" t="s">
        <v>164</v>
      </c>
      <c r="K18" s="146"/>
      <c r="L18" s="10"/>
      <c r="M18" s="5" t="s">
        <v>165</v>
      </c>
      <c r="N18" s="147"/>
      <c r="O18" s="10"/>
      <c r="P18" s="5" t="s">
        <v>166</v>
      </c>
      <c r="Q18" s="148"/>
      <c r="R18" s="10"/>
      <c r="S18" s="5" t="s">
        <v>167</v>
      </c>
      <c r="T18" s="149"/>
      <c r="U18" s="10"/>
      <c r="V18" s="5" t="s">
        <v>168</v>
      </c>
      <c r="W18" s="150"/>
      <c r="X18" s="10"/>
      <c r="Y18" s="10"/>
      <c r="Z18" s="10"/>
      <c r="AA18" s="10"/>
    </row>
    <row r="19" s="1" customFormat="1" spans="1:27">
      <c r="A19" s="5" t="s">
        <v>169</v>
      </c>
      <c r="B19" s="151"/>
      <c r="C19" s="7"/>
      <c r="D19" s="5" t="s">
        <v>170</v>
      </c>
      <c r="E19" s="152"/>
      <c r="F19" s="10"/>
      <c r="G19" s="5" t="s">
        <v>171</v>
      </c>
      <c r="H19" s="153"/>
      <c r="I19" s="10"/>
      <c r="J19" s="5" t="s">
        <v>172</v>
      </c>
      <c r="K19" s="154"/>
      <c r="L19" s="10"/>
      <c r="M19" s="5" t="s">
        <v>173</v>
      </c>
      <c r="N19" s="155"/>
      <c r="O19" s="10"/>
      <c r="P19" s="5" t="s">
        <v>174</v>
      </c>
      <c r="Q19" s="156"/>
      <c r="R19" s="10"/>
      <c r="S19" s="5" t="s">
        <v>175</v>
      </c>
      <c r="T19" s="157"/>
      <c r="U19" s="10"/>
      <c r="V19" s="5" t="s">
        <v>176</v>
      </c>
      <c r="W19" s="10"/>
      <c r="X19" s="10"/>
      <c r="Y19" s="10"/>
      <c r="Z19" s="10"/>
      <c r="AA19" s="10"/>
    </row>
    <row r="20" s="1" customFormat="1" spans="1:27">
      <c r="A20" s="5" t="s">
        <v>177</v>
      </c>
      <c r="B20" s="158"/>
      <c r="C20" s="7"/>
      <c r="D20" s="5" t="s">
        <v>178</v>
      </c>
      <c r="E20" s="159"/>
      <c r="F20" s="10"/>
      <c r="G20" s="5" t="s">
        <v>179</v>
      </c>
      <c r="H20" s="160"/>
      <c r="I20" s="10"/>
      <c r="J20" s="5" t="s">
        <v>180</v>
      </c>
      <c r="K20" s="161"/>
      <c r="L20" s="10"/>
      <c r="M20" s="5" t="s">
        <v>181</v>
      </c>
      <c r="N20" s="162"/>
      <c r="O20" s="10"/>
      <c r="P20" s="5" t="s">
        <v>182</v>
      </c>
      <c r="Q20" s="163"/>
      <c r="R20" s="10"/>
      <c r="S20" s="5" t="s">
        <v>183</v>
      </c>
      <c r="T20" s="164"/>
      <c r="U20" s="10"/>
      <c r="V20" s="5" t="s">
        <v>184</v>
      </c>
      <c r="W20" s="10"/>
      <c r="X20" s="10"/>
      <c r="Y20" s="10"/>
      <c r="Z20" s="10"/>
      <c r="AA20" s="10"/>
    </row>
    <row r="21" s="1" customFormat="1" spans="1:27">
      <c r="A21" s="5" t="s">
        <v>185</v>
      </c>
      <c r="B21" s="165"/>
      <c r="C21" s="7"/>
      <c r="D21" s="5" t="s">
        <v>186</v>
      </c>
      <c r="E21" s="166"/>
      <c r="F21" s="10"/>
      <c r="G21" s="5" t="s">
        <v>187</v>
      </c>
      <c r="H21" s="167"/>
      <c r="I21" s="10"/>
      <c r="J21" s="5" t="s">
        <v>188</v>
      </c>
      <c r="K21" s="168"/>
      <c r="L21" s="10"/>
      <c r="M21" s="5" t="s">
        <v>189</v>
      </c>
      <c r="N21" s="169"/>
      <c r="O21" s="10"/>
      <c r="P21" s="5" t="s">
        <v>190</v>
      </c>
      <c r="Q21" s="170"/>
      <c r="R21" s="10"/>
      <c r="S21" s="5" t="s">
        <v>191</v>
      </c>
      <c r="T21" s="171"/>
      <c r="U21" s="10"/>
      <c r="V21" s="5" t="s">
        <v>192</v>
      </c>
      <c r="W21" s="172"/>
      <c r="X21" s="10"/>
      <c r="Y21" s="10"/>
      <c r="Z21" s="10"/>
      <c r="AA21" s="10"/>
    </row>
    <row r="22" s="1" customFormat="1" spans="1:27">
      <c r="A22" s="5" t="s">
        <v>193</v>
      </c>
      <c r="B22" s="173"/>
      <c r="C22" s="7"/>
      <c r="D22" s="5" t="s">
        <v>194</v>
      </c>
      <c r="E22" s="174"/>
      <c r="F22" s="10"/>
      <c r="G22" s="5" t="s">
        <v>195</v>
      </c>
      <c r="H22" s="175"/>
      <c r="I22" s="10"/>
      <c r="J22" s="5" t="s">
        <v>196</v>
      </c>
      <c r="K22" s="176"/>
      <c r="L22" s="10"/>
      <c r="M22" s="5" t="s">
        <v>197</v>
      </c>
      <c r="N22" s="177"/>
      <c r="O22" s="10"/>
      <c r="P22" s="5" t="s">
        <v>198</v>
      </c>
      <c r="Q22" s="178"/>
      <c r="R22" s="10"/>
      <c r="S22" s="5" t="s">
        <v>199</v>
      </c>
      <c r="T22" s="179"/>
      <c r="U22" s="10"/>
      <c r="V22" s="5" t="s">
        <v>200</v>
      </c>
      <c r="W22" s="180"/>
      <c r="X22" s="10"/>
      <c r="Y22" s="10"/>
      <c r="Z22" s="10"/>
      <c r="AA22" s="10"/>
    </row>
    <row r="23" s="1" customFormat="1" spans="1:27">
      <c r="A23" s="5" t="s">
        <v>201</v>
      </c>
      <c r="B23" s="181"/>
      <c r="C23" s="7"/>
      <c r="D23" s="5" t="s">
        <v>202</v>
      </c>
      <c r="E23" s="182"/>
      <c r="F23" s="10"/>
      <c r="G23" s="5" t="s">
        <v>203</v>
      </c>
      <c r="H23" s="183"/>
      <c r="I23" s="10"/>
      <c r="J23" s="5" t="s">
        <v>204</v>
      </c>
      <c r="K23" s="184"/>
      <c r="L23" s="10"/>
      <c r="M23" s="5" t="s">
        <v>205</v>
      </c>
      <c r="N23" s="185"/>
      <c r="O23" s="10"/>
      <c r="P23" s="5" t="s">
        <v>206</v>
      </c>
      <c r="Q23" s="186"/>
      <c r="R23" s="10"/>
      <c r="S23" s="5" t="s">
        <v>207</v>
      </c>
      <c r="T23" s="187"/>
      <c r="U23" s="10"/>
      <c r="V23" s="5" t="s">
        <v>208</v>
      </c>
      <c r="W23" s="188"/>
      <c r="X23" s="10"/>
      <c r="Y23" s="10"/>
      <c r="Z23" s="10"/>
      <c r="AA23" s="10"/>
    </row>
    <row r="24" s="1" customFormat="1" spans="1:27">
      <c r="A24" s="5" t="s">
        <v>209</v>
      </c>
      <c r="B24" s="189"/>
      <c r="C24" s="7"/>
      <c r="D24" s="5" t="s">
        <v>210</v>
      </c>
      <c r="E24" s="190"/>
      <c r="F24" s="10"/>
      <c r="G24" s="5" t="s">
        <v>211</v>
      </c>
      <c r="H24" s="191"/>
      <c r="I24" s="10"/>
      <c r="J24" s="5" t="s">
        <v>212</v>
      </c>
      <c r="K24" s="192"/>
      <c r="L24" s="10"/>
      <c r="M24" s="5" t="s">
        <v>213</v>
      </c>
      <c r="N24" s="193"/>
      <c r="O24" s="10"/>
      <c r="P24" s="5" t="s">
        <v>214</v>
      </c>
      <c r="Q24" s="194"/>
      <c r="R24" s="10"/>
      <c r="S24" s="10"/>
      <c r="T24" s="10"/>
      <c r="U24" s="10"/>
      <c r="V24" s="5" t="s">
        <v>215</v>
      </c>
      <c r="W24" s="195"/>
      <c r="X24" s="10"/>
      <c r="Y24" s="10"/>
      <c r="Z24" s="10"/>
      <c r="AA24" s="10"/>
    </row>
    <row r="25" s="1" customFormat="1" spans="1:27">
      <c r="A25" s="5" t="s">
        <v>216</v>
      </c>
      <c r="B25" s="196"/>
      <c r="C25" s="7"/>
      <c r="D25" s="5" t="s">
        <v>217</v>
      </c>
      <c r="E25" s="197"/>
      <c r="F25" s="10"/>
      <c r="G25" s="5" t="s">
        <v>218</v>
      </c>
      <c r="H25" s="198"/>
      <c r="I25" s="10"/>
      <c r="J25" s="5" t="s">
        <v>219</v>
      </c>
      <c r="K25" s="199"/>
      <c r="L25" s="10"/>
      <c r="M25" s="26" t="s">
        <v>220</v>
      </c>
      <c r="N25" s="200"/>
      <c r="O25" s="10"/>
      <c r="P25" s="5" t="s">
        <v>221</v>
      </c>
      <c r="Q25" s="201"/>
      <c r="R25" s="10"/>
      <c r="S25" s="10"/>
      <c r="T25" s="10"/>
      <c r="U25" s="10"/>
      <c r="V25" s="26" t="s">
        <v>222</v>
      </c>
      <c r="W25" s="202"/>
      <c r="X25" s="10"/>
      <c r="Y25" s="10"/>
      <c r="Z25" s="10"/>
      <c r="AA25" s="10"/>
    </row>
    <row r="26" s="1" customFormat="1" spans="1:27">
      <c r="A26" s="5" t="s">
        <v>223</v>
      </c>
      <c r="B26" s="203"/>
      <c r="C26" s="7"/>
      <c r="D26" s="5" t="s">
        <v>224</v>
      </c>
      <c r="E26" s="204"/>
      <c r="F26" s="10"/>
      <c r="G26" s="5" t="s">
        <v>225</v>
      </c>
      <c r="H26" s="205"/>
      <c r="I26" s="10"/>
      <c r="J26" s="5" t="s">
        <v>226</v>
      </c>
      <c r="K26" s="206"/>
      <c r="L26" s="10"/>
      <c r="M26" s="5" t="s">
        <v>227</v>
      </c>
      <c r="N26" s="207"/>
      <c r="O26" s="10"/>
      <c r="P26" s="5" t="s">
        <v>228</v>
      </c>
      <c r="Q26" s="208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 s="1" customFormat="1" spans="1:27">
      <c r="A27" s="209" t="s">
        <v>229</v>
      </c>
      <c r="B27" s="203"/>
      <c r="C27" s="7"/>
      <c r="D27" s="5" t="s">
        <v>230</v>
      </c>
      <c r="E27" s="210"/>
      <c r="F27" s="10"/>
      <c r="G27" s="5" t="s">
        <v>231</v>
      </c>
      <c r="H27" s="211"/>
      <c r="I27" s="10"/>
      <c r="J27" s="5" t="s">
        <v>232</v>
      </c>
      <c r="K27" s="212"/>
      <c r="L27" s="10"/>
      <c r="M27" s="10"/>
      <c r="N27" s="10"/>
      <c r="O27" s="10"/>
      <c r="P27" s="5" t="s">
        <v>233</v>
      </c>
      <c r="Q27" s="213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s="1" customFormat="1" spans="1:27">
      <c r="A28" s="5" t="s">
        <v>234</v>
      </c>
      <c r="B28" s="214"/>
      <c r="C28" s="7"/>
      <c r="D28" s="5" t="s">
        <v>235</v>
      </c>
      <c r="E28" s="215"/>
      <c r="F28" s="10"/>
      <c r="G28" s="5" t="s">
        <v>236</v>
      </c>
      <c r="H28" s="216"/>
      <c r="I28" s="10"/>
      <c r="J28" s="5" t="s">
        <v>237</v>
      </c>
      <c r="K28" s="217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s="1" customFormat="1" spans="1:27">
      <c r="A29" s="10"/>
      <c r="B29" s="10"/>
      <c r="C29" s="10"/>
      <c r="D29" s="5" t="s">
        <v>238</v>
      </c>
      <c r="E29" s="218"/>
      <c r="F29" s="10"/>
      <c r="G29" s="5" t="s">
        <v>239</v>
      </c>
      <c r="H29" s="219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 s="1" customFormat="1" spans="1:27">
      <c r="A30" s="10"/>
      <c r="B30" s="10"/>
      <c r="C30" s="10"/>
      <c r="D30" s="5" t="s">
        <v>240</v>
      </c>
      <c r="E30" s="220"/>
      <c r="F30" s="10"/>
      <c r="G30" s="221" t="s">
        <v>241</v>
      </c>
      <c r="H30" s="222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 s="1" customFormat="1" spans="1:27">
      <c r="A31" s="10"/>
      <c r="B31" s="10"/>
      <c r="C31" s="10"/>
      <c r="D31" s="5" t="s">
        <v>242</v>
      </c>
      <c r="E31" s="223"/>
      <c r="F31" s="10"/>
      <c r="G31" s="5" t="s">
        <v>243</v>
      </c>
      <c r="H31" s="224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 s="1" customFormat="1" spans="1:27">
      <c r="A32" s="10"/>
      <c r="B32" s="10"/>
      <c r="C32" s="10"/>
      <c r="D32" s="5" t="s">
        <v>244</v>
      </c>
      <c r="E32" s="225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s="1" customFormat="1" spans="1:27">
      <c r="A33" s="10"/>
      <c r="B33" s="10"/>
      <c r="C33" s="10"/>
      <c r="D33" s="5" t="s">
        <v>245</v>
      </c>
      <c r="E33" s="226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s="1" customFormat="1" spans="1:27">
      <c r="A34" s="10"/>
      <c r="B34" s="10"/>
      <c r="C34" s="10"/>
      <c r="D34" s="5" t="s">
        <v>246</v>
      </c>
      <c r="E34" s="227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6" s="1" customFormat="1" ht="20.4" spans="1:27">
      <c r="A36" s="228"/>
      <c r="B36" s="229"/>
      <c r="C36" s="229"/>
      <c r="D36" s="229"/>
      <c r="E36" s="230"/>
    </row>
    <row r="37" s="1" customFormat="1" ht="20.4" spans="1:27">
      <c r="A37" s="231" t="s">
        <v>247</v>
      </c>
      <c r="B37" s="229"/>
      <c r="C37" s="232">
        <f>SUM(C3:C28,F3:F34,I3:I31,L3:L28,O3:O26,R3:R27,U4:U23,X3:X25,AA3:AA17)</f>
        <v>0</v>
      </c>
      <c r="D37" s="229" t="s">
        <v>248</v>
      </c>
      <c r="E37" s="230"/>
    </row>
    <row r="38" ht="20.4" spans="1:27">
      <c r="A38" s="231" t="s">
        <v>249</v>
      </c>
      <c r="B38" s="229"/>
      <c r="C38" s="232">
        <f>COUNTIF(C3:C28,"&gt;0")+COUNTIF(F3:F34,"&gt;0")+COUNTIF(I3:I31,"&gt;0")+COUNTIF(L3:L28,"&gt;0")+COUNTIF(O3:O26,"&gt;0")+COUNTIF(R3:R27,"&gt;0")+COUNTIF(U3:U23,"&gt;0")+COUNTIF(X3:X25,"&gt;0")+COUNTIF(AA3:AA17,"&gt;0")</f>
        <v>0</v>
      </c>
      <c r="D38" s="229" t="s">
        <v>250</v>
      </c>
      <c r="E38" s="230"/>
    </row>
    <row r="39" ht="20.4" spans="1:27">
      <c r="A39" s="233" t="s">
        <v>251</v>
      </c>
      <c r="B39" s="229"/>
      <c r="C39" s="229">
        <v>40</v>
      </c>
      <c r="D39" s="229" t="s">
        <v>252</v>
      </c>
      <c r="E39" s="230"/>
    </row>
    <row r="40" ht="20.4" spans="1:27">
      <c r="A40" s="234" t="s">
        <v>253</v>
      </c>
      <c r="B40" s="235"/>
      <c r="C40" s="236">
        <f>C37*C39</f>
        <v>0</v>
      </c>
      <c r="D40" s="235" t="s">
        <v>254</v>
      </c>
      <c r="E40" s="230"/>
    </row>
    <row r="41" ht="21.15" spans="1:27">
      <c r="A41" s="237"/>
      <c r="B41" s="238"/>
      <c r="C41" s="238"/>
      <c r="D41" s="238"/>
      <c r="E41" s="239"/>
    </row>
  </sheetData>
  <mergeCells count="10">
    <mergeCell ref="A1:AA1"/>
    <mergeCell ref="A2:C2"/>
    <mergeCell ref="D2:F2"/>
    <mergeCell ref="G2:I2"/>
    <mergeCell ref="J2:L2"/>
    <mergeCell ref="M2:O2"/>
    <mergeCell ref="P2:R2"/>
    <mergeCell ref="S2:U2"/>
    <mergeCell ref="V2:X2"/>
    <mergeCell ref="Y2:AA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统计说明</vt:lpstr>
      <vt:lpstr>色号累计总表</vt:lpstr>
      <vt:lpstr>示例260801</vt:lpstr>
      <vt:lpstr>空白模板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zyq</dc:creator>
  <cp:lastModifiedBy>WPS_1508460220</cp:lastModifiedBy>
  <dcterms:created xsi:type="dcterms:W3CDTF">2026-08-04T17:35:00Z</dcterms:created>
  <dcterms:modified xsi:type="dcterms:W3CDTF">2026-08-05T21:43:41Z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80BFCF2D6ECFB55EF041716A6EA4814E_41</vt:lpwstr>
  </property>
  <property fmtid="{D5CDD505-2E9C-101B-9397-08002B2CF9AE}" pid="3" name="KSOProductBuildVer">
    <vt:lpwstr>2052-12.1.26053.26053</vt:lpwstr>
  </property>
  <property fmtid="{D5CDD505-2E9C-101B-9397-08002B2CF9AE}" pid="4" name="CalculationRule">
    <vt:i4>1</vt:i4>
  </property>
</Properties>
</file>